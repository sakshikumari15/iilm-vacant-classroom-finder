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 Table\2026-27\Odd Sem\"/>
    </mc:Choice>
  </mc:AlternateContent>
  <xr:revisionPtr revIDLastSave="0" documentId="13_ncr:1_{159F3F42-B49D-4910-9E0E-91A8FA56A2F7}" xr6:coauthVersionLast="47" xr6:coauthVersionMax="47" xr10:uidLastSave="{00000000-0000-0000-0000-000000000000}"/>
  <bookViews>
    <workbookView xWindow="-120" yWindow="-120" windowWidth="29040" windowHeight="15720" tabRatio="676" xr2:uid="{00000000-000D-0000-FFFF-FFFF00000000}"/>
  </bookViews>
  <sheets>
    <sheet name="Sem-1A" sheetId="1" r:id="rId1"/>
    <sheet name="Sem-1B" sheetId="14" r:id="rId2"/>
    <sheet name="Sem-1C" sheetId="15" r:id="rId3"/>
    <sheet name="Sem-1G" sheetId="19" state="hidden" r:id="rId4"/>
    <sheet name="Sem-1D" sheetId="16" r:id="rId5"/>
    <sheet name="Sem-1E" sheetId="28" r:id="rId6"/>
    <sheet name="Sem-3A" sheetId="20" r:id="rId7"/>
    <sheet name="Sem-3B" sheetId="21" r:id="rId8"/>
    <sheet name="Sem-3C" sheetId="22" r:id="rId9"/>
    <sheet name="Sem-3D" sheetId="23" r:id="rId10"/>
    <sheet name="Sem-5A" sheetId="24" r:id="rId11"/>
    <sheet name="Sem-5B" sheetId="25" r:id="rId12"/>
    <sheet name="Sem-5C" sheetId="26" r:id="rId13"/>
    <sheet name="Sem-5D" sheetId="27" r:id="rId14"/>
  </sheets>
  <definedNames>
    <definedName name="_xlnm._FilterDatabase" localSheetId="0" hidden="1">'Sem-1A'!$F$1:$F$3</definedName>
    <definedName name="_xlnm._FilterDatabase" localSheetId="1" hidden="1">'Sem-1B'!$E$1:$E$21</definedName>
    <definedName name="_xlnm._FilterDatabase" localSheetId="2" hidden="1">'Sem-1C'!$E$1:$E$14</definedName>
    <definedName name="_xlnm._FilterDatabase" localSheetId="4" hidden="1">'Sem-1D'!$E$1:$E$21</definedName>
    <definedName name="_xlnm._FilterDatabase" localSheetId="5" hidden="1">'Sem-1E'!$E$1:$E$7</definedName>
    <definedName name="_xlnm._FilterDatabase" localSheetId="3" hidden="1">'Sem-1G'!$F$1:$F$56</definedName>
    <definedName name="_xlnm._FilterDatabase" localSheetId="6" hidden="1">'Sem-3A'!$E$1:$E$14</definedName>
    <definedName name="_xlnm._FilterDatabase" localSheetId="7" hidden="1">'Sem-3B'!$E$1:$E$21</definedName>
    <definedName name="_xlnm._FilterDatabase" localSheetId="8" hidden="1">'Sem-3C'!$E$1:$E$21</definedName>
    <definedName name="_xlnm._FilterDatabase" localSheetId="9" hidden="1">'Sem-3D'!$E$1:$E$21</definedName>
    <definedName name="_xlnm._FilterDatabase" localSheetId="10" hidden="1">'Sem-5A'!$E$1:$E$21</definedName>
    <definedName name="_xlnm._FilterDatabase" localSheetId="11" hidden="1">'Sem-5B'!$E$1:$E$21</definedName>
    <definedName name="_xlnm._FilterDatabase" localSheetId="12" hidden="1">'Sem-5C'!$E$1:$E$21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27" l="1"/>
  <c r="P22" i="27" s="1"/>
  <c r="Q22" i="26"/>
  <c r="P22" i="26" s="1"/>
  <c r="Q22" i="25"/>
  <c r="P22" i="25" s="1"/>
  <c r="Q23" i="27" l="1"/>
  <c r="P23" i="27"/>
  <c r="Q21" i="27"/>
  <c r="P21" i="27"/>
  <c r="Q23" i="26"/>
  <c r="P23" i="26"/>
  <c r="Q21" i="26"/>
  <c r="P21" i="26" s="1"/>
  <c r="Q23" i="25"/>
  <c r="P23" i="25" s="1"/>
  <c r="Q21" i="25"/>
  <c r="P21" i="25"/>
  <c r="R22" i="24"/>
  <c r="Q22" i="24" s="1"/>
  <c r="Q8" i="28" l="1"/>
  <c r="P8" i="28" s="1"/>
  <c r="Q8" i="16"/>
  <c r="P8" i="16" s="1"/>
  <c r="Q8" i="15"/>
  <c r="P8" i="15" s="1"/>
  <c r="Q8" i="14"/>
  <c r="P8" i="14" s="1"/>
  <c r="R23" i="24" l="1"/>
  <c r="Q23" i="24" s="1"/>
  <c r="R21" i="24"/>
  <c r="Q21" i="24" s="1"/>
  <c r="R20" i="24"/>
  <c r="Q20" i="24" s="1"/>
  <c r="R19" i="24"/>
  <c r="Q19" i="24" s="1"/>
  <c r="R18" i="24"/>
  <c r="Q18" i="24"/>
  <c r="R17" i="24"/>
  <c r="Q17" i="24" s="1"/>
  <c r="R16" i="24"/>
  <c r="Q16" i="24" s="1"/>
  <c r="R15" i="24"/>
  <c r="Q15" i="24" s="1"/>
  <c r="R14" i="24"/>
  <c r="Q14" i="24" s="1"/>
  <c r="R13" i="24"/>
  <c r="Q13" i="24" s="1"/>
  <c r="R12" i="24"/>
  <c r="Q12" i="24" s="1"/>
  <c r="R11" i="24"/>
  <c r="Q11" i="24"/>
  <c r="R10" i="24"/>
  <c r="Q10" i="24" s="1"/>
  <c r="R9" i="24"/>
  <c r="Q9" i="24" s="1"/>
  <c r="R8" i="24"/>
  <c r="Q8" i="24"/>
  <c r="R7" i="24"/>
  <c r="Q7" i="24" s="1"/>
  <c r="Q20" i="25"/>
  <c r="P20" i="25" s="1"/>
  <c r="Q19" i="25"/>
  <c r="P19" i="25" s="1"/>
  <c r="Q18" i="25"/>
  <c r="P18" i="25"/>
  <c r="Q17" i="25"/>
  <c r="P17" i="25" s="1"/>
  <c r="Q16" i="25"/>
  <c r="P16" i="25" s="1"/>
  <c r="Q15" i="25"/>
  <c r="P15" i="25" s="1"/>
  <c r="Q14" i="25"/>
  <c r="P14" i="25"/>
  <c r="Q13" i="25"/>
  <c r="P13" i="25" s="1"/>
  <c r="Q12" i="25"/>
  <c r="P12" i="25"/>
  <c r="Q11" i="25"/>
  <c r="P11" i="25" s="1"/>
  <c r="Q10" i="25"/>
  <c r="P10" i="25"/>
  <c r="Q9" i="25"/>
  <c r="P9" i="25" s="1"/>
  <c r="Q8" i="25"/>
  <c r="P8" i="25" s="1"/>
  <c r="Q7" i="25"/>
  <c r="P7" i="25" s="1"/>
  <c r="Q20" i="27"/>
  <c r="P20" i="27" s="1"/>
  <c r="Q19" i="27"/>
  <c r="P19" i="27" s="1"/>
  <c r="Q18" i="27"/>
  <c r="P18" i="27"/>
  <c r="Q17" i="27"/>
  <c r="P17" i="27"/>
  <c r="Q16" i="27"/>
  <c r="P16" i="27"/>
  <c r="Q15" i="27"/>
  <c r="P15" i="27" s="1"/>
  <c r="Q14" i="27"/>
  <c r="P14" i="27"/>
  <c r="Q13" i="27"/>
  <c r="P13" i="27" s="1"/>
  <c r="Q12" i="27"/>
  <c r="P12" i="27"/>
  <c r="Q11" i="27"/>
  <c r="P11" i="27" s="1"/>
  <c r="Q10" i="27"/>
  <c r="P10" i="27"/>
  <c r="Q9" i="27"/>
  <c r="P9" i="27"/>
  <c r="Q8" i="27"/>
  <c r="P8" i="27"/>
  <c r="Q7" i="27"/>
  <c r="P7" i="27" s="1"/>
  <c r="R20" i="20" l="1"/>
  <c r="Q20" i="20" s="1"/>
  <c r="R19" i="20"/>
  <c r="Q19" i="20" s="1"/>
  <c r="R18" i="20"/>
  <c r="Q18" i="20" s="1"/>
  <c r="R17" i="20"/>
  <c r="Q17" i="20" s="1"/>
  <c r="R16" i="20"/>
  <c r="Q16" i="20" s="1"/>
  <c r="R15" i="20"/>
  <c r="Q15" i="20" s="1"/>
  <c r="R14" i="20"/>
  <c r="Q14" i="20" s="1"/>
  <c r="R13" i="20"/>
  <c r="Q13" i="20" s="1"/>
  <c r="R12" i="20"/>
  <c r="Q12" i="20" s="1"/>
  <c r="R11" i="20"/>
  <c r="Q11" i="20" s="1"/>
  <c r="R10" i="20"/>
  <c r="Q10" i="20" s="1"/>
  <c r="R9" i="20"/>
  <c r="Q9" i="20" s="1"/>
  <c r="Q20" i="21"/>
  <c r="P20" i="21" s="1"/>
  <c r="Q19" i="21"/>
  <c r="P19" i="21" s="1"/>
  <c r="Q18" i="21"/>
  <c r="P18" i="21" s="1"/>
  <c r="Q17" i="21"/>
  <c r="P17" i="21" s="1"/>
  <c r="Q16" i="21"/>
  <c r="P16" i="21" s="1"/>
  <c r="Q15" i="21"/>
  <c r="P15" i="21" s="1"/>
  <c r="Q14" i="21"/>
  <c r="P14" i="21" s="1"/>
  <c r="Q13" i="21"/>
  <c r="P13" i="21" s="1"/>
  <c r="Q12" i="21"/>
  <c r="P12" i="21" s="1"/>
  <c r="Q11" i="21"/>
  <c r="P11" i="21" s="1"/>
  <c r="Q10" i="21"/>
  <c r="P10" i="21" s="1"/>
  <c r="Q9" i="21"/>
  <c r="P9" i="21" s="1"/>
  <c r="Q20" i="22"/>
  <c r="P20" i="22" s="1"/>
  <c r="Q19" i="22"/>
  <c r="P19" i="22" s="1"/>
  <c r="Q18" i="22"/>
  <c r="P18" i="22" s="1"/>
  <c r="Q17" i="22"/>
  <c r="P17" i="22" s="1"/>
  <c r="Q16" i="22"/>
  <c r="P16" i="22" s="1"/>
  <c r="Q15" i="22"/>
  <c r="P15" i="22" s="1"/>
  <c r="Q14" i="22"/>
  <c r="P14" i="22" s="1"/>
  <c r="Q13" i="22"/>
  <c r="P13" i="22" s="1"/>
  <c r="Q12" i="22"/>
  <c r="P12" i="22" s="1"/>
  <c r="Q11" i="22"/>
  <c r="P11" i="22" s="1"/>
  <c r="Q10" i="22"/>
  <c r="P10" i="22" s="1"/>
  <c r="Q9" i="22"/>
  <c r="P9" i="22" s="1"/>
  <c r="Q20" i="23"/>
  <c r="P20" i="23" s="1"/>
  <c r="Q19" i="23"/>
  <c r="P19" i="23" s="1"/>
  <c r="Q18" i="23"/>
  <c r="P18" i="23" s="1"/>
  <c r="Q17" i="23"/>
  <c r="P17" i="23" s="1"/>
  <c r="Q16" i="23"/>
  <c r="P16" i="23" s="1"/>
  <c r="Q15" i="23"/>
  <c r="P15" i="23" s="1"/>
  <c r="Q14" i="23"/>
  <c r="P14" i="23" s="1"/>
  <c r="Q13" i="23"/>
  <c r="P13" i="23" s="1"/>
  <c r="Q12" i="23"/>
  <c r="P12" i="23" s="1"/>
  <c r="Q11" i="23"/>
  <c r="P11" i="23" s="1"/>
  <c r="Q10" i="23"/>
  <c r="P10" i="23" s="1"/>
  <c r="Q9" i="23"/>
  <c r="P9" i="23" s="1"/>
  <c r="Q8" i="23"/>
  <c r="P8" i="23" s="1"/>
  <c r="Q7" i="23"/>
  <c r="P7" i="23" s="1"/>
  <c r="Q6" i="23"/>
  <c r="P6" i="23" s="1"/>
  <c r="Q5" i="23"/>
  <c r="P5" i="23" s="1"/>
  <c r="Q4" i="23"/>
  <c r="P4" i="23" s="1"/>
  <c r="Q8" i="22"/>
  <c r="P8" i="22" s="1"/>
  <c r="Q7" i="22"/>
  <c r="P7" i="22" s="1"/>
  <c r="Q6" i="22"/>
  <c r="P6" i="22" s="1"/>
  <c r="Q5" i="22"/>
  <c r="P5" i="22" s="1"/>
  <c r="Q4" i="22"/>
  <c r="P4" i="22" s="1"/>
  <c r="C5" i="27"/>
  <c r="C6" i="27" s="1"/>
  <c r="C7" i="27" s="1"/>
  <c r="C8" i="27" s="1"/>
  <c r="C9" i="27" s="1"/>
  <c r="C11" i="27" s="1"/>
  <c r="C12" i="27" s="1"/>
  <c r="C13" i="27" s="1"/>
  <c r="C14" i="27" s="1"/>
  <c r="C15" i="27" s="1"/>
  <c r="C16" i="27" s="1"/>
  <c r="C18" i="27" s="1"/>
  <c r="C19" i="27" s="1"/>
  <c r="C20" i="27" s="1"/>
  <c r="C21" i="27" s="1"/>
  <c r="C22" i="27" s="1"/>
  <c r="C25" i="27" s="1"/>
  <c r="C26" i="27" s="1"/>
  <c r="C5" i="26"/>
  <c r="C6" i="26" s="1"/>
  <c r="C7" i="26" s="1"/>
  <c r="C8" i="26" s="1"/>
  <c r="C9" i="26" s="1"/>
  <c r="C11" i="26" s="1"/>
  <c r="C12" i="26" s="1"/>
  <c r="C13" i="26" s="1"/>
  <c r="C14" i="26" s="1"/>
  <c r="C15" i="26" s="1"/>
  <c r="C16" i="26" s="1"/>
  <c r="C18" i="26" s="1"/>
  <c r="C19" i="26" s="1"/>
  <c r="C20" i="26" s="1"/>
  <c r="C21" i="26" s="1"/>
  <c r="C22" i="26" s="1"/>
  <c r="C25" i="26" s="1"/>
  <c r="C26" i="26" s="1"/>
  <c r="C5" i="25"/>
  <c r="C6" i="25" s="1"/>
  <c r="C7" i="25" s="1"/>
  <c r="C8" i="25" s="1"/>
  <c r="C9" i="25" s="1"/>
  <c r="C11" i="25" s="1"/>
  <c r="C12" i="25" s="1"/>
  <c r="C13" i="25" s="1"/>
  <c r="C14" i="25" s="1"/>
  <c r="C15" i="25" s="1"/>
  <c r="C16" i="25" s="1"/>
  <c r="C18" i="25" s="1"/>
  <c r="C19" i="25" s="1"/>
  <c r="C20" i="25" s="1"/>
  <c r="C21" i="25" s="1"/>
  <c r="C22" i="25" s="1"/>
  <c r="C25" i="25" s="1"/>
  <c r="C26" i="25" s="1"/>
  <c r="C5" i="24"/>
  <c r="C6" i="24" s="1"/>
  <c r="C7" i="24" s="1"/>
  <c r="C8" i="24" s="1"/>
  <c r="C9" i="24" s="1"/>
  <c r="C11" i="24" s="1"/>
  <c r="C12" i="24" s="1"/>
  <c r="C13" i="24" s="1"/>
  <c r="C14" i="24" s="1"/>
  <c r="C15" i="24" s="1"/>
  <c r="C16" i="24" s="1"/>
  <c r="C18" i="24" s="1"/>
  <c r="C19" i="24" s="1"/>
  <c r="C20" i="24" s="1"/>
  <c r="C21" i="24" s="1"/>
  <c r="C22" i="24" s="1"/>
  <c r="C25" i="24" s="1"/>
  <c r="C26" i="24" s="1"/>
  <c r="C27" i="24" s="1"/>
  <c r="C28" i="24" s="1"/>
  <c r="C29" i="24" s="1"/>
  <c r="C5" i="23"/>
  <c r="C6" i="23" s="1"/>
  <c r="C7" i="23" s="1"/>
  <c r="C8" i="23" s="1"/>
  <c r="C9" i="23" s="1"/>
  <c r="C11" i="23" s="1"/>
  <c r="C12" i="23" s="1"/>
  <c r="C13" i="23" s="1"/>
  <c r="C14" i="23" s="1"/>
  <c r="C15" i="23" s="1"/>
  <c r="C16" i="23" s="1"/>
  <c r="C18" i="23" s="1"/>
  <c r="C19" i="23" s="1"/>
  <c r="C20" i="23" s="1"/>
  <c r="C21" i="23" s="1"/>
  <c r="C22" i="23" s="1"/>
  <c r="C25" i="23" s="1"/>
  <c r="C26" i="23" s="1"/>
  <c r="C27" i="23" s="1"/>
  <c r="C28" i="23" s="1"/>
  <c r="C29" i="23" s="1"/>
  <c r="C5" i="22"/>
  <c r="C6" i="22" s="1"/>
  <c r="C7" i="22" s="1"/>
  <c r="C8" i="22" s="1"/>
  <c r="C9" i="22" s="1"/>
  <c r="C11" i="22" s="1"/>
  <c r="C12" i="22" s="1"/>
  <c r="C13" i="22" s="1"/>
  <c r="C14" i="22" s="1"/>
  <c r="C15" i="22" s="1"/>
  <c r="C16" i="22" s="1"/>
  <c r="C18" i="22" s="1"/>
  <c r="C19" i="22" s="1"/>
  <c r="C20" i="22" s="1"/>
  <c r="C21" i="22" s="1"/>
  <c r="C22" i="22" s="1"/>
  <c r="C25" i="22" s="1"/>
  <c r="C26" i="22" s="1"/>
  <c r="C27" i="22" s="1"/>
  <c r="C28" i="22" s="1"/>
  <c r="C29" i="22" s="1"/>
  <c r="C5" i="21"/>
  <c r="C6" i="21" s="1"/>
  <c r="C7" i="21" s="1"/>
  <c r="C8" i="21" s="1"/>
  <c r="C9" i="21" s="1"/>
  <c r="C11" i="21" s="1"/>
  <c r="C12" i="21" s="1"/>
  <c r="C13" i="21" s="1"/>
  <c r="C14" i="21" s="1"/>
  <c r="C15" i="21" s="1"/>
  <c r="C16" i="21" s="1"/>
  <c r="C18" i="21" s="1"/>
  <c r="C19" i="21" s="1"/>
  <c r="C20" i="21" s="1"/>
  <c r="C21" i="21" s="1"/>
  <c r="C22" i="21" s="1"/>
  <c r="C25" i="21" s="1"/>
  <c r="C26" i="21" s="1"/>
  <c r="C27" i="21" s="1"/>
  <c r="C28" i="21" s="1"/>
  <c r="C29" i="21" s="1"/>
  <c r="C5" i="28"/>
  <c r="C6" i="28" s="1"/>
  <c r="C7" i="28" s="1"/>
  <c r="C8" i="28" s="1"/>
  <c r="C11" i="28" s="1"/>
  <c r="C12" i="28" s="1"/>
  <c r="C13" i="28" s="1"/>
  <c r="C14" i="28" s="1"/>
  <c r="C15" i="28" s="1"/>
  <c r="C5" i="16"/>
  <c r="C6" i="16" s="1"/>
  <c r="C7" i="16" s="1"/>
  <c r="C8" i="16" s="1"/>
  <c r="C9" i="16" s="1"/>
  <c r="C11" i="16" s="1"/>
  <c r="C12" i="16" s="1"/>
  <c r="C13" i="16" s="1"/>
  <c r="C14" i="16" s="1"/>
  <c r="C15" i="16" s="1"/>
  <c r="C16" i="16" s="1"/>
  <c r="C18" i="16" s="1"/>
  <c r="C19" i="16" s="1"/>
  <c r="C20" i="16" s="1"/>
  <c r="C21" i="16" s="1"/>
  <c r="C22" i="16" s="1"/>
  <c r="C25" i="16" s="1"/>
  <c r="C26" i="16" s="1"/>
  <c r="C27" i="16" s="1"/>
  <c r="C28" i="16" s="1"/>
  <c r="C29" i="16" s="1"/>
  <c r="C5" i="14"/>
  <c r="C6" i="14" s="1"/>
  <c r="C7" i="14" s="1"/>
  <c r="C8" i="14" s="1"/>
  <c r="C9" i="14" s="1"/>
  <c r="C11" i="14" s="1"/>
  <c r="C12" i="14" s="1"/>
  <c r="C13" i="14" s="1"/>
  <c r="C14" i="14" s="1"/>
  <c r="C15" i="14" s="1"/>
  <c r="C16" i="14" s="1"/>
  <c r="C18" i="14" s="1"/>
  <c r="C19" i="14" s="1"/>
  <c r="C20" i="14" s="1"/>
  <c r="C21" i="14" s="1"/>
  <c r="C22" i="14" s="1"/>
  <c r="C25" i="14" s="1"/>
  <c r="C26" i="14" s="1"/>
  <c r="C27" i="14" s="1"/>
  <c r="C28" i="14" s="1"/>
  <c r="C29" i="14" s="1"/>
  <c r="C5" i="1"/>
  <c r="C6" i="1" s="1"/>
  <c r="C7" i="1" s="1"/>
  <c r="C8" i="1" s="1"/>
  <c r="C9" i="1" s="1"/>
  <c r="C11" i="1" s="1"/>
  <c r="C12" i="1" s="1"/>
  <c r="C13" i="1" s="1"/>
  <c r="C14" i="1" s="1"/>
  <c r="C15" i="1" s="1"/>
  <c r="C16" i="1" s="1"/>
  <c r="C18" i="1" s="1"/>
  <c r="C19" i="1" s="1"/>
  <c r="C20" i="1" s="1"/>
  <c r="C21" i="1" s="1"/>
  <c r="C22" i="1" s="1"/>
  <c r="C25" i="1" s="1"/>
  <c r="C26" i="1" s="1"/>
  <c r="C27" i="1" s="1"/>
  <c r="C28" i="1" s="1"/>
  <c r="C29" i="1" s="1"/>
  <c r="O12" i="28"/>
  <c r="Q11" i="28"/>
  <c r="P11" i="28" s="1"/>
  <c r="Q10" i="28"/>
  <c r="P10" i="28" s="1"/>
  <c r="Q9" i="28"/>
  <c r="P9" i="28" s="1"/>
  <c r="Q7" i="28"/>
  <c r="P7" i="28" s="1"/>
  <c r="Q6" i="28"/>
  <c r="P6" i="28" s="1"/>
  <c r="Q5" i="28"/>
  <c r="P5" i="28" s="1"/>
  <c r="Q4" i="28"/>
  <c r="P4" i="28"/>
  <c r="Q6" i="27"/>
  <c r="P6" i="27" s="1"/>
  <c r="Q5" i="27"/>
  <c r="P5" i="27" s="1"/>
  <c r="Q4" i="27"/>
  <c r="P4" i="27" s="1"/>
  <c r="Q7" i="26"/>
  <c r="P7" i="26" s="1"/>
  <c r="Q20" i="26"/>
  <c r="P20" i="26" s="1"/>
  <c r="Q19" i="26"/>
  <c r="P19" i="26" s="1"/>
  <c r="Q18" i="26"/>
  <c r="P18" i="26" s="1"/>
  <c r="Q17" i="26"/>
  <c r="P17" i="26" s="1"/>
  <c r="Q16" i="26"/>
  <c r="P16" i="26" s="1"/>
  <c r="Q15" i="26"/>
  <c r="P15" i="26" s="1"/>
  <c r="Q14" i="26"/>
  <c r="P14" i="26" s="1"/>
  <c r="Q13" i="26"/>
  <c r="P13" i="26" s="1"/>
  <c r="Q12" i="26"/>
  <c r="P12" i="26" s="1"/>
  <c r="Q11" i="26"/>
  <c r="P11" i="26" s="1"/>
  <c r="Q10" i="26"/>
  <c r="P10" i="26" s="1"/>
  <c r="Q9" i="26"/>
  <c r="P9" i="26" s="1"/>
  <c r="Q8" i="26"/>
  <c r="P8" i="26" s="1"/>
  <c r="Q6" i="26"/>
  <c r="P6" i="26"/>
  <c r="Q5" i="26"/>
  <c r="P5" i="26" s="1"/>
  <c r="Q4" i="26"/>
  <c r="P4" i="26"/>
  <c r="Q6" i="25"/>
  <c r="P6" i="25" s="1"/>
  <c r="Q5" i="25"/>
  <c r="P5" i="25" s="1"/>
  <c r="Q4" i="25"/>
  <c r="P4" i="25" s="1"/>
  <c r="O21" i="23"/>
  <c r="O21" i="22"/>
  <c r="O21" i="21"/>
  <c r="Q8" i="21"/>
  <c r="P8" i="21" s="1"/>
  <c r="Q7" i="21"/>
  <c r="P7" i="21" s="1"/>
  <c r="Q6" i="21"/>
  <c r="P6" i="21" s="1"/>
  <c r="Q5" i="21"/>
  <c r="P5" i="21"/>
  <c r="Q4" i="21"/>
  <c r="P4" i="21" s="1"/>
  <c r="P21" i="20"/>
  <c r="C5" i="20"/>
  <c r="C6" i="20" s="1"/>
  <c r="C7" i="20" s="1"/>
  <c r="C8" i="20" s="1"/>
  <c r="C9" i="20" s="1"/>
  <c r="C11" i="20" s="1"/>
  <c r="C12" i="20" s="1"/>
  <c r="C13" i="20" s="1"/>
  <c r="C14" i="20" s="1"/>
  <c r="C15" i="20" s="1"/>
  <c r="C16" i="20" s="1"/>
  <c r="C18" i="20" s="1"/>
  <c r="C19" i="20" s="1"/>
  <c r="C20" i="20" s="1"/>
  <c r="C21" i="20" s="1"/>
  <c r="C22" i="20" s="1"/>
  <c r="C25" i="20" s="1"/>
  <c r="C26" i="20" s="1"/>
  <c r="C27" i="20" s="1"/>
  <c r="C28" i="20" s="1"/>
  <c r="C29" i="20" s="1"/>
  <c r="O12" i="16"/>
  <c r="Q11" i="16"/>
  <c r="P11" i="16"/>
  <c r="Q10" i="16"/>
  <c r="P10" i="16" s="1"/>
  <c r="Q9" i="16"/>
  <c r="P9" i="16" s="1"/>
  <c r="Q7" i="16"/>
  <c r="P7" i="16" s="1"/>
  <c r="Q6" i="16"/>
  <c r="P6" i="16"/>
  <c r="Q5" i="16"/>
  <c r="P5" i="16" s="1"/>
  <c r="Q4" i="16"/>
  <c r="P4" i="16"/>
  <c r="O12" i="15"/>
  <c r="Q11" i="15"/>
  <c r="P11" i="15" s="1"/>
  <c r="Q10" i="15"/>
  <c r="P10" i="15" s="1"/>
  <c r="Q9" i="15"/>
  <c r="P9" i="15" s="1"/>
  <c r="Q7" i="15"/>
  <c r="P7" i="15" s="1"/>
  <c r="Q6" i="15"/>
  <c r="P6" i="15" s="1"/>
  <c r="Q5" i="15"/>
  <c r="P5" i="15" s="1"/>
  <c r="C5" i="15"/>
  <c r="C6" i="15" s="1"/>
  <c r="C7" i="15" s="1"/>
  <c r="C8" i="15" s="1"/>
  <c r="C9" i="15" s="1"/>
  <c r="C11" i="15" s="1"/>
  <c r="C12" i="15" s="1"/>
  <c r="C13" i="15" s="1"/>
  <c r="C14" i="15" s="1"/>
  <c r="C15" i="15" s="1"/>
  <c r="C16" i="15" s="1"/>
  <c r="C18" i="15" s="1"/>
  <c r="C19" i="15" s="1"/>
  <c r="C20" i="15" s="1"/>
  <c r="C21" i="15" s="1"/>
  <c r="C22" i="15" s="1"/>
  <c r="C25" i="15" s="1"/>
  <c r="C26" i="15" s="1"/>
  <c r="C27" i="15" s="1"/>
  <c r="C28" i="15" s="1"/>
  <c r="C29" i="15" s="1"/>
  <c r="Q4" i="15"/>
  <c r="O12" i="14"/>
  <c r="Q11" i="14"/>
  <c r="P11" i="14" s="1"/>
  <c r="Q10" i="14"/>
  <c r="P10" i="14" s="1"/>
  <c r="Q9" i="14"/>
  <c r="P9" i="14" s="1"/>
  <c r="Q7" i="14"/>
  <c r="P7" i="14" s="1"/>
  <c r="Q6" i="14"/>
  <c r="P6" i="14" s="1"/>
  <c r="Q5" i="14"/>
  <c r="P5" i="14" s="1"/>
  <c r="Q4" i="14"/>
  <c r="P4" i="14"/>
  <c r="Q12" i="14" l="1"/>
  <c r="P12" i="16"/>
  <c r="Q12" i="16"/>
  <c r="C27" i="27"/>
  <c r="C28" i="27" s="1"/>
  <c r="C29" i="27" s="1"/>
  <c r="C27" i="26"/>
  <c r="C28" i="26" s="1"/>
  <c r="C29" i="26" s="1"/>
  <c r="C30" i="26" s="1"/>
  <c r="C27" i="25"/>
  <c r="C28" i="25" s="1"/>
  <c r="C29" i="25" s="1"/>
  <c r="P12" i="28"/>
  <c r="Q12" i="28"/>
  <c r="Q21" i="23"/>
  <c r="C32" i="27"/>
  <c r="C33" i="27" s="1"/>
  <c r="C34" i="27" s="1"/>
  <c r="C35" i="27" s="1"/>
  <c r="C37" i="27" s="1"/>
  <c r="C39" i="27" s="1"/>
  <c r="C40" i="27" s="1"/>
  <c r="C41" i="27" s="1"/>
  <c r="C42" i="27" s="1"/>
  <c r="C44" i="27" s="1"/>
  <c r="C46" i="27" s="1"/>
  <c r="C47" i="27" s="1"/>
  <c r="C48" i="27" s="1"/>
  <c r="C49" i="27" s="1"/>
  <c r="C50" i="27" s="1"/>
  <c r="C51" i="27" s="1"/>
  <c r="C30" i="27"/>
  <c r="C32" i="26"/>
  <c r="C33" i="26" s="1"/>
  <c r="C34" i="26" s="1"/>
  <c r="C35" i="26" s="1"/>
  <c r="C37" i="26" s="1"/>
  <c r="C39" i="26" s="1"/>
  <c r="C40" i="26" s="1"/>
  <c r="C41" i="26" s="1"/>
  <c r="C42" i="26" s="1"/>
  <c r="C44" i="26" s="1"/>
  <c r="C46" i="26" s="1"/>
  <c r="C47" i="26" s="1"/>
  <c r="C48" i="26" s="1"/>
  <c r="C49" i="26" s="1"/>
  <c r="C50" i="26" s="1"/>
  <c r="C51" i="26" s="1"/>
  <c r="C32" i="25"/>
  <c r="C33" i="25" s="1"/>
  <c r="C34" i="25" s="1"/>
  <c r="C35" i="25" s="1"/>
  <c r="C37" i="25" s="1"/>
  <c r="C39" i="25" s="1"/>
  <c r="C40" i="25" s="1"/>
  <c r="C41" i="25" s="1"/>
  <c r="C42" i="25" s="1"/>
  <c r="C44" i="25" s="1"/>
  <c r="C46" i="25" s="1"/>
  <c r="C47" i="25" s="1"/>
  <c r="C48" i="25" s="1"/>
  <c r="C49" i="25" s="1"/>
  <c r="C50" i="25" s="1"/>
  <c r="C51" i="25" s="1"/>
  <c r="C30" i="25"/>
  <c r="C32" i="24"/>
  <c r="C33" i="24" s="1"/>
  <c r="C34" i="24" s="1"/>
  <c r="C35" i="24" s="1"/>
  <c r="C37" i="24" s="1"/>
  <c r="C39" i="24" s="1"/>
  <c r="C40" i="24" s="1"/>
  <c r="C41" i="24" s="1"/>
  <c r="C42" i="24" s="1"/>
  <c r="C44" i="24" s="1"/>
  <c r="C46" i="24" s="1"/>
  <c r="C47" i="24" s="1"/>
  <c r="C48" i="24" s="1"/>
  <c r="C49" i="24" s="1"/>
  <c r="C50" i="24" s="1"/>
  <c r="C51" i="24" s="1"/>
  <c r="C30" i="24"/>
  <c r="C32" i="23"/>
  <c r="C33" i="23" s="1"/>
  <c r="C34" i="23" s="1"/>
  <c r="C35" i="23" s="1"/>
  <c r="C37" i="23" s="1"/>
  <c r="C39" i="23" s="1"/>
  <c r="C40" i="23" s="1"/>
  <c r="C41" i="23" s="1"/>
  <c r="C42" i="23" s="1"/>
  <c r="C44" i="23" s="1"/>
  <c r="C46" i="23" s="1"/>
  <c r="C47" i="23" s="1"/>
  <c r="C48" i="23" s="1"/>
  <c r="C49" i="23" s="1"/>
  <c r="C50" i="23" s="1"/>
  <c r="C51" i="23" s="1"/>
  <c r="C30" i="23"/>
  <c r="C32" i="22"/>
  <c r="C33" i="22" s="1"/>
  <c r="C34" i="22" s="1"/>
  <c r="C35" i="22" s="1"/>
  <c r="C37" i="22" s="1"/>
  <c r="C39" i="22" s="1"/>
  <c r="C40" i="22" s="1"/>
  <c r="C41" i="22" s="1"/>
  <c r="C42" i="22" s="1"/>
  <c r="C44" i="22" s="1"/>
  <c r="C46" i="22" s="1"/>
  <c r="C47" i="22" s="1"/>
  <c r="C48" i="22" s="1"/>
  <c r="C49" i="22" s="1"/>
  <c r="C50" i="22" s="1"/>
  <c r="C51" i="22" s="1"/>
  <c r="C30" i="22"/>
  <c r="C32" i="21"/>
  <c r="C33" i="21" s="1"/>
  <c r="C34" i="21" s="1"/>
  <c r="C35" i="21" s="1"/>
  <c r="C37" i="21" s="1"/>
  <c r="C39" i="21" s="1"/>
  <c r="C40" i="21" s="1"/>
  <c r="C41" i="21" s="1"/>
  <c r="C42" i="21" s="1"/>
  <c r="C44" i="21" s="1"/>
  <c r="C46" i="21" s="1"/>
  <c r="C47" i="21" s="1"/>
  <c r="C48" i="21" s="1"/>
  <c r="C49" i="21" s="1"/>
  <c r="C50" i="21" s="1"/>
  <c r="C51" i="21" s="1"/>
  <c r="C30" i="21"/>
  <c r="C18" i="28"/>
  <c r="C19" i="28" s="1"/>
  <c r="C20" i="28" s="1"/>
  <c r="C21" i="28" s="1"/>
  <c r="C23" i="28" s="1"/>
  <c r="C25" i="28" s="1"/>
  <c r="C26" i="28" s="1"/>
  <c r="C27" i="28" s="1"/>
  <c r="C28" i="28" s="1"/>
  <c r="C30" i="28" s="1"/>
  <c r="C32" i="28" s="1"/>
  <c r="C33" i="28" s="1"/>
  <c r="C34" i="28" s="1"/>
  <c r="C35" i="28" s="1"/>
  <c r="C36" i="28" s="1"/>
  <c r="C37" i="28" s="1"/>
  <c r="C16" i="28"/>
  <c r="C32" i="16"/>
  <c r="C33" i="16" s="1"/>
  <c r="C34" i="16" s="1"/>
  <c r="C35" i="16" s="1"/>
  <c r="C37" i="16" s="1"/>
  <c r="C39" i="16" s="1"/>
  <c r="C40" i="16" s="1"/>
  <c r="C41" i="16" s="1"/>
  <c r="C42" i="16" s="1"/>
  <c r="C44" i="16" s="1"/>
  <c r="C46" i="16" s="1"/>
  <c r="C47" i="16" s="1"/>
  <c r="C48" i="16" s="1"/>
  <c r="C49" i="16" s="1"/>
  <c r="C50" i="16" s="1"/>
  <c r="C51" i="16" s="1"/>
  <c r="C30" i="16"/>
  <c r="C32" i="14"/>
  <c r="C33" i="14" s="1"/>
  <c r="C34" i="14" s="1"/>
  <c r="C35" i="14" s="1"/>
  <c r="C37" i="14" s="1"/>
  <c r="C39" i="14" s="1"/>
  <c r="C40" i="14" s="1"/>
  <c r="C41" i="14" s="1"/>
  <c r="C42" i="14" s="1"/>
  <c r="C44" i="14" s="1"/>
  <c r="C46" i="14" s="1"/>
  <c r="C47" i="14" s="1"/>
  <c r="C48" i="14" s="1"/>
  <c r="C49" i="14" s="1"/>
  <c r="C50" i="14" s="1"/>
  <c r="C51" i="14" s="1"/>
  <c r="C30" i="14"/>
  <c r="C32" i="1"/>
  <c r="C33" i="1" s="1"/>
  <c r="C34" i="1" s="1"/>
  <c r="C35" i="1" s="1"/>
  <c r="C37" i="1" s="1"/>
  <c r="C39" i="1" s="1"/>
  <c r="C40" i="1" s="1"/>
  <c r="C41" i="1" s="1"/>
  <c r="C42" i="1" s="1"/>
  <c r="C44" i="1" s="1"/>
  <c r="C46" i="1" s="1"/>
  <c r="C47" i="1" s="1"/>
  <c r="C48" i="1" s="1"/>
  <c r="C49" i="1" s="1"/>
  <c r="C50" i="1" s="1"/>
  <c r="C51" i="1" s="1"/>
  <c r="C30" i="1"/>
  <c r="Q12" i="15"/>
  <c r="P4" i="15"/>
  <c r="P21" i="23"/>
  <c r="P21" i="22"/>
  <c r="Q21" i="22"/>
  <c r="P21" i="21"/>
  <c r="Q21" i="21"/>
  <c r="C32" i="20"/>
  <c r="C33" i="20" s="1"/>
  <c r="C34" i="20" s="1"/>
  <c r="C35" i="20" s="1"/>
  <c r="C37" i="20" s="1"/>
  <c r="C39" i="20" s="1"/>
  <c r="C40" i="20" s="1"/>
  <c r="C41" i="20" s="1"/>
  <c r="C42" i="20" s="1"/>
  <c r="C44" i="20" s="1"/>
  <c r="C46" i="20" s="1"/>
  <c r="C47" i="20" s="1"/>
  <c r="C48" i="20" s="1"/>
  <c r="C49" i="20" s="1"/>
  <c r="C50" i="20" s="1"/>
  <c r="C51" i="20" s="1"/>
  <c r="C30" i="20"/>
  <c r="C32" i="15"/>
  <c r="C33" i="15" s="1"/>
  <c r="C34" i="15" s="1"/>
  <c r="C35" i="15" s="1"/>
  <c r="C37" i="15" s="1"/>
  <c r="C39" i="15" s="1"/>
  <c r="C40" i="15" s="1"/>
  <c r="C41" i="15" s="1"/>
  <c r="C42" i="15" s="1"/>
  <c r="C44" i="15" s="1"/>
  <c r="C46" i="15" s="1"/>
  <c r="C47" i="15" s="1"/>
  <c r="C48" i="15" s="1"/>
  <c r="C49" i="15" s="1"/>
  <c r="C50" i="15" s="1"/>
  <c r="C51" i="15" s="1"/>
  <c r="C30" i="15"/>
  <c r="P12" i="14"/>
  <c r="P12" i="15" l="1"/>
  <c r="O12" i="1"/>
  <c r="R6" i="24" l="1"/>
  <c r="Q6" i="24" s="1"/>
  <c r="R5" i="24"/>
  <c r="Q5" i="24" s="1"/>
  <c r="R4" i="24"/>
  <c r="Q4" i="24" s="1"/>
  <c r="Q10" i="1"/>
  <c r="P10" i="1" s="1"/>
  <c r="Q11" i="1"/>
  <c r="P11" i="1" s="1"/>
  <c r="R8" i="20"/>
  <c r="Q8" i="20" s="1"/>
  <c r="R7" i="20"/>
  <c r="Q7" i="20" s="1"/>
  <c r="R6" i="20"/>
  <c r="Q6" i="20" s="1"/>
  <c r="R5" i="20"/>
  <c r="Q5" i="20" s="1"/>
  <c r="R4" i="20"/>
  <c r="Q5" i="1"/>
  <c r="Q6" i="1"/>
  <c r="Q7" i="1"/>
  <c r="Q8" i="1"/>
  <c r="Q9" i="1"/>
  <c r="Q4" i="1"/>
  <c r="Q12" i="1" l="1"/>
  <c r="R21" i="20"/>
  <c r="Q4" i="20"/>
  <c r="Q21" i="20" s="1"/>
  <c r="S11" i="19" l="1"/>
  <c r="S10" i="19"/>
  <c r="S9" i="19"/>
  <c r="S8" i="19"/>
  <c r="S7" i="19"/>
  <c r="S6" i="19"/>
  <c r="S5" i="19"/>
  <c r="S4" i="19"/>
  <c r="Q11" i="19" l="1"/>
  <c r="P11" i="19" s="1"/>
  <c r="T11" i="19" s="1"/>
  <c r="Q10" i="19"/>
  <c r="P10" i="19"/>
  <c r="T10" i="19" s="1"/>
  <c r="Q9" i="19"/>
  <c r="P9" i="19" s="1"/>
  <c r="T9" i="19" s="1"/>
  <c r="Q8" i="19"/>
  <c r="P8" i="19"/>
  <c r="Q7" i="19"/>
  <c r="P7" i="19" s="1"/>
  <c r="T7" i="19" s="1"/>
  <c r="Q6" i="19"/>
  <c r="P6" i="19"/>
  <c r="Q5" i="19"/>
  <c r="P5" i="19" s="1"/>
  <c r="T5" i="19" s="1"/>
  <c r="Q4" i="19"/>
  <c r="P4" i="19"/>
  <c r="P9" i="1"/>
  <c r="O12" i="19"/>
  <c r="T8" i="19"/>
  <c r="T6" i="19"/>
  <c r="S12" i="19" l="1"/>
  <c r="T4" i="19"/>
  <c r="T12" i="19" s="1"/>
  <c r="P12" i="19"/>
  <c r="Q12" i="19"/>
  <c r="P8" i="1" l="1"/>
  <c r="P7" i="1"/>
  <c r="P6" i="1"/>
  <c r="P5" i="1"/>
  <c r="P4" i="1" l="1"/>
  <c r="P12" i="1" s="1"/>
</calcChain>
</file>

<file path=xl/sharedStrings.xml><?xml version="1.0" encoding="utf-8"?>
<sst xmlns="http://schemas.openxmlformats.org/spreadsheetml/2006/main" count="3672" uniqueCount="338">
  <si>
    <t>Day</t>
  </si>
  <si>
    <t>Course Title</t>
  </si>
  <si>
    <t>Credit</t>
  </si>
  <si>
    <t>Sessions</t>
  </si>
  <si>
    <t>Faculty</t>
  </si>
  <si>
    <t>Date</t>
  </si>
  <si>
    <t>Hrs.</t>
  </si>
  <si>
    <t>Diff.</t>
  </si>
  <si>
    <t>9:00 - 10:15</t>
  </si>
  <si>
    <t>Actu.</t>
  </si>
  <si>
    <t>Week</t>
  </si>
  <si>
    <t>10:20-11:35</t>
  </si>
  <si>
    <t>11:40-12:55</t>
  </si>
  <si>
    <t>12:55-01:40</t>
  </si>
  <si>
    <t>01:40-02:55</t>
  </si>
  <si>
    <t>03:00-04:15</t>
  </si>
  <si>
    <t>04:20-05:35</t>
  </si>
  <si>
    <t>Codes</t>
  </si>
  <si>
    <t>Acronym</t>
  </si>
  <si>
    <t>MPOB</t>
  </si>
  <si>
    <t>NF</t>
  </si>
  <si>
    <t>IILM University, Greater Noida</t>
  </si>
  <si>
    <t>Raksha Bandhan</t>
  </si>
  <si>
    <t>Independence Day</t>
  </si>
  <si>
    <t>Ganesh Chaturthi</t>
  </si>
  <si>
    <t xml:space="preserve">Sem </t>
  </si>
  <si>
    <t>Gandhi Jayanti</t>
  </si>
  <si>
    <t xml:space="preserve">Diwali </t>
  </si>
  <si>
    <t>Break</t>
  </si>
  <si>
    <t>Guru Nanak's Birth Day</t>
  </si>
  <si>
    <t>Sports</t>
  </si>
  <si>
    <t>Meet</t>
  </si>
  <si>
    <t>End</t>
  </si>
  <si>
    <t>Sem</t>
  </si>
  <si>
    <t>Exams</t>
  </si>
  <si>
    <t>Winter</t>
  </si>
  <si>
    <t>Christmas/ Winter</t>
  </si>
  <si>
    <t>Management Process &amp; Organizational Behaviour</t>
  </si>
  <si>
    <t>Business Economics-I</t>
  </si>
  <si>
    <t>Financial Accounting &amp; Analysis</t>
  </si>
  <si>
    <t>Business maths</t>
  </si>
  <si>
    <t>Spreadsheet Modelling &amp; data visualization</t>
  </si>
  <si>
    <t>BE-I</t>
  </si>
  <si>
    <t>FAA</t>
  </si>
  <si>
    <t>BM</t>
  </si>
  <si>
    <t>SMDV</t>
  </si>
  <si>
    <t>Co-Curricular</t>
  </si>
  <si>
    <t>CC</t>
  </si>
  <si>
    <t>Dr Avijit &amp; Team</t>
  </si>
  <si>
    <t>Dr. Dangmei</t>
  </si>
  <si>
    <t>Dr Nitu</t>
  </si>
  <si>
    <t>Dr Mani</t>
  </si>
  <si>
    <t>Mr Dheeraj</t>
  </si>
  <si>
    <t xml:space="preserve">BBA, Semester - I (Section-G), Room No: - </t>
  </si>
  <si>
    <t>Foundation of communication</t>
  </si>
  <si>
    <t>Understanding Society &amp; Self</t>
  </si>
  <si>
    <t>UMC251001</t>
  </si>
  <si>
    <t>UMC251002</t>
  </si>
  <si>
    <t>UMC251003</t>
  </si>
  <si>
    <t>UMC251004</t>
  </si>
  <si>
    <t>UMSEC1001</t>
  </si>
  <si>
    <t>UMAEC1001</t>
  </si>
  <si>
    <t>UMVAC1001</t>
  </si>
  <si>
    <t>UMMDC1001</t>
  </si>
  <si>
    <t>FC</t>
  </si>
  <si>
    <t>USS</t>
  </si>
  <si>
    <t>Days</t>
  </si>
  <si>
    <t>Mon</t>
  </si>
  <si>
    <t>Tue</t>
  </si>
  <si>
    <t>Wed</t>
  </si>
  <si>
    <t>Thu</t>
  </si>
  <si>
    <t>Fri</t>
  </si>
  <si>
    <t>Sat</t>
  </si>
  <si>
    <t>Sun</t>
  </si>
  <si>
    <t>Total Quality Management</t>
  </si>
  <si>
    <t>Dr. Sandeep Kumar</t>
  </si>
  <si>
    <t>Dr. Pallavi Seth</t>
  </si>
  <si>
    <t>TQM</t>
  </si>
  <si>
    <t>IFM</t>
  </si>
  <si>
    <t>Dr. Chandra Pal</t>
  </si>
  <si>
    <t xml:space="preserve"> </t>
  </si>
  <si>
    <t>Janmasthami</t>
  </si>
  <si>
    <t>Foundation of Communication</t>
  </si>
  <si>
    <t>Public Speaking &amp; Rhetoric</t>
  </si>
  <si>
    <t>Organizational Behaviour in Global &amp; Digital Context</t>
  </si>
  <si>
    <t>Spreadsheet Modelling &amp; Data Visualization</t>
  </si>
  <si>
    <t>Business Mathematics</t>
  </si>
  <si>
    <t>26BBAC103</t>
  </si>
  <si>
    <t>26BBAC102</t>
  </si>
  <si>
    <t>26BBAA101</t>
  </si>
  <si>
    <t>26BBAT101</t>
  </si>
  <si>
    <t>26BBAV101</t>
  </si>
  <si>
    <t>26BBAC101</t>
  </si>
  <si>
    <t>26BBAS101</t>
  </si>
  <si>
    <t>26BBAC104</t>
  </si>
  <si>
    <t>Ms. Ekta Saraswat</t>
  </si>
  <si>
    <t>Dr. Bilal Khan</t>
  </si>
  <si>
    <t>Mr. Gajendra Pal Singh</t>
  </si>
  <si>
    <t>Dr. Deepa Diddi</t>
  </si>
  <si>
    <t>Ms. Kriti Gupta</t>
  </si>
  <si>
    <t>Mr. Krishna Kumar Saraswat</t>
  </si>
  <si>
    <t>Dr. Archana Singh</t>
  </si>
  <si>
    <t>BE-1</t>
  </si>
  <si>
    <t>PSR</t>
  </si>
  <si>
    <t>OBGD</t>
  </si>
  <si>
    <t>Ms Deepa</t>
  </si>
  <si>
    <t>Mr. Kishan Nigam</t>
  </si>
  <si>
    <t>Dr. Syed Kumail Sajjad</t>
  </si>
  <si>
    <t>Ms. Neha Dubey</t>
  </si>
  <si>
    <t>Mr. Nitish Kumar</t>
  </si>
  <si>
    <t>Dr. Nitu Maurya</t>
  </si>
  <si>
    <t>Dr. Ritika Saini</t>
  </si>
  <si>
    <t>Dr. Syed Mohd Shahzeb</t>
  </si>
  <si>
    <t>Dr. Pooja Sharma</t>
  </si>
  <si>
    <t>Dr. Avijit Chakravarti</t>
  </si>
  <si>
    <t>Dr. Pratigya Kwatra</t>
  </si>
  <si>
    <t>Indian Financial system</t>
  </si>
  <si>
    <t>UMDE301001</t>
  </si>
  <si>
    <t>Indian Banking System</t>
  </si>
  <si>
    <t>UMDE32101</t>
  </si>
  <si>
    <t>Mr. Sumit Arora</t>
  </si>
  <si>
    <t>Fintech-KPMG</t>
  </si>
  <si>
    <t>UMDE32201</t>
  </si>
  <si>
    <t>Business Law</t>
  </si>
  <si>
    <t>UMC253003</t>
  </si>
  <si>
    <t>International Business Environment</t>
  </si>
  <si>
    <t>UMDE32001</t>
  </si>
  <si>
    <t>Innovation &amp; Entrepreneurship</t>
  </si>
  <si>
    <t>UMDE30401</t>
  </si>
  <si>
    <t>Indian Society and Culture</t>
  </si>
  <si>
    <t>UMSOHS0002</t>
  </si>
  <si>
    <t>SoHSS-Mr Manoj</t>
  </si>
  <si>
    <t>Media Literacy</t>
  </si>
  <si>
    <t>UMSOHS0010</t>
  </si>
  <si>
    <t>SoHSS-Ms Arushi</t>
  </si>
  <si>
    <t>Behavoural Economics</t>
  </si>
  <si>
    <t>UMPSY0002</t>
  </si>
  <si>
    <t>Critical Thinking &amp; Problem Solving</t>
  </si>
  <si>
    <t>UMAEC3003</t>
  </si>
  <si>
    <t>Principles of Human Resource Management</t>
  </si>
  <si>
    <t>UMC253001</t>
  </si>
  <si>
    <t>Talent Acquisition (HR)</t>
  </si>
  <si>
    <t>UMDE30201</t>
  </si>
  <si>
    <t>Introduction to Machine Learning and Artificial Intelligence</t>
  </si>
  <si>
    <t>UMDE30701</t>
  </si>
  <si>
    <t>Statistics for data Analytics-Business Analytics (HCL Tech)</t>
  </si>
  <si>
    <t>UMDE30601</t>
  </si>
  <si>
    <t>HCL</t>
  </si>
  <si>
    <t>Data Analytics for Business</t>
  </si>
  <si>
    <t>UMSEC3003</t>
  </si>
  <si>
    <t>Dr. Gautam Srivastava</t>
  </si>
  <si>
    <t>Fundamentals of Consumer Behaviour</t>
  </si>
  <si>
    <t>UMDE30301</t>
  </si>
  <si>
    <t>Principles of Operations Management</t>
  </si>
  <si>
    <t>UMC2530901</t>
  </si>
  <si>
    <t>Mr. Dheeraj Narang</t>
  </si>
  <si>
    <t>Dr. Shipra Pandey</t>
  </si>
  <si>
    <t>Fintech</t>
  </si>
  <si>
    <t>Ms. Sneha Choubey</t>
  </si>
  <si>
    <t>Dr. Ankita Sharma</t>
  </si>
  <si>
    <t>Founders, Financing, and Legal aspects of business</t>
  </si>
  <si>
    <t>UMDE50404</t>
  </si>
  <si>
    <t>International Financial Management</t>
  </si>
  <si>
    <t>UMDE50103</t>
  </si>
  <si>
    <t>Corporate Finance</t>
  </si>
  <si>
    <t>UMDE50104</t>
  </si>
  <si>
    <t>Money and Banking</t>
  </si>
  <si>
    <t>UMDE52103</t>
  </si>
  <si>
    <t>Banking, Theory Law and Practice</t>
  </si>
  <si>
    <t>UMDE52104</t>
  </si>
  <si>
    <t>Business Policy &amp; Strategy</t>
  </si>
  <si>
    <t>UMC245012</t>
  </si>
  <si>
    <t>Dissertation -1 (Research Proposal)</t>
  </si>
  <si>
    <t>UMC245014</t>
  </si>
  <si>
    <t>Cross-cultural Management</t>
  </si>
  <si>
    <t>UMDE52003</t>
  </si>
  <si>
    <t>International business strategy</t>
  </si>
  <si>
    <t>UMDE52004</t>
  </si>
  <si>
    <t>SoHSS-Ms Ruchi Bobal</t>
  </si>
  <si>
    <t>Data Visualization with powerBI/Tableau</t>
  </si>
  <si>
    <t>UMDE50603</t>
  </si>
  <si>
    <t>Business Intelligence &amp; ERP</t>
  </si>
  <si>
    <t>UMDE50604</t>
  </si>
  <si>
    <t>Foundation of Natural Language Processing (NLP)</t>
  </si>
  <si>
    <t>UMDE51903</t>
  </si>
  <si>
    <t>Machine Learning applications</t>
  </si>
  <si>
    <t>UMDE51904</t>
  </si>
  <si>
    <t>Entrepreneurial Marketing</t>
  </si>
  <si>
    <t>UMDE50403</t>
  </si>
  <si>
    <t>Strategies for Marketing Communication</t>
  </si>
  <si>
    <t>UMDE40302</t>
  </si>
  <si>
    <t>Digital and Social Media Marketing</t>
  </si>
  <si>
    <t>UMDE50303</t>
  </si>
  <si>
    <t>UMC245013</t>
  </si>
  <si>
    <t>POM</t>
  </si>
  <si>
    <t>BL</t>
  </si>
  <si>
    <t>PHRM</t>
  </si>
  <si>
    <t>CTPS</t>
  </si>
  <si>
    <t>DAB</t>
  </si>
  <si>
    <t>IBS</t>
  </si>
  <si>
    <t>IBE</t>
  </si>
  <si>
    <t>IE</t>
  </si>
  <si>
    <t>FCB</t>
  </si>
  <si>
    <t>ISC</t>
  </si>
  <si>
    <t>ML</t>
  </si>
  <si>
    <t>BE</t>
  </si>
  <si>
    <t>IFS</t>
  </si>
  <si>
    <t>TA</t>
  </si>
  <si>
    <t>IML</t>
  </si>
  <si>
    <t>SDA</t>
  </si>
  <si>
    <t>Dr. Amandeep Kataria</t>
  </si>
  <si>
    <t>Ms Priyanka Gupta</t>
  </si>
  <si>
    <t>BPS</t>
  </si>
  <si>
    <t>MB</t>
  </si>
  <si>
    <t>EM</t>
  </si>
  <si>
    <t>SMC</t>
  </si>
  <si>
    <t>CF</t>
  </si>
  <si>
    <t>BTLP</t>
  </si>
  <si>
    <t>BIERP</t>
  </si>
  <si>
    <t>DSMM</t>
  </si>
  <si>
    <t>Diss</t>
  </si>
  <si>
    <t>CCM</t>
  </si>
  <si>
    <t>DV</t>
  </si>
  <si>
    <t>FNL</t>
  </si>
  <si>
    <t>FFLB</t>
  </si>
  <si>
    <t>MLA</t>
  </si>
  <si>
    <t>FBL</t>
  </si>
  <si>
    <t>Dr. Shobhana Dewagan</t>
  </si>
  <si>
    <t>Dr Chetna Priti</t>
  </si>
  <si>
    <t>Dr. Saptarishi Majumdar</t>
  </si>
  <si>
    <t>Ms. Deepa</t>
  </si>
  <si>
    <t>Dr. Shweta Agarwal</t>
  </si>
  <si>
    <t>Dr. Vipul</t>
  </si>
  <si>
    <t>KPMG</t>
  </si>
  <si>
    <t>Ms. Pallavi Negi</t>
  </si>
  <si>
    <t>Ms. Renu Devi</t>
  </si>
  <si>
    <t>Corporate Internship</t>
  </si>
  <si>
    <t>Dr Kumail</t>
  </si>
  <si>
    <t>Ms.Deepanshi Arora</t>
  </si>
  <si>
    <t>Social Media and Digital Society</t>
  </si>
  <si>
    <t>Dr. Furkan (Tue to Sat)</t>
  </si>
  <si>
    <t>Sushant Saklani</t>
  </si>
  <si>
    <t>IBS/TA/IML</t>
  </si>
  <si>
    <t>IFS/IBE/FCB</t>
  </si>
  <si>
    <t>ISC/ML/BE</t>
  </si>
  <si>
    <t>IE/SDA/KPMG</t>
  </si>
  <si>
    <t>FBL-2</t>
  </si>
  <si>
    <t>Dr. Sushant Saklani</t>
  </si>
  <si>
    <t>MLA/DSMM/MB</t>
  </si>
  <si>
    <t>BIERP/EM</t>
  </si>
  <si>
    <t>IBS/BTLP</t>
  </si>
  <si>
    <t>PCR</t>
  </si>
  <si>
    <t>DSMM/MB</t>
  </si>
  <si>
    <t>TQM in 402.</t>
  </si>
  <si>
    <t>BE-1 in 303</t>
  </si>
  <si>
    <t>POM in 207</t>
  </si>
  <si>
    <t>BM in 303.</t>
  </si>
  <si>
    <t>BBA, Semester - V (Section-A), Room No: - 401</t>
  </si>
  <si>
    <t>BBA, Semester - V (Section-B), Room No: - 401</t>
  </si>
  <si>
    <t>BBA, Semester - V (Section-C), Room No: - 402</t>
  </si>
  <si>
    <t>BBA, Semester - V (Section-D), Room No: - 402</t>
  </si>
  <si>
    <t>DV/IFM</t>
  </si>
  <si>
    <t>IBS/BTLP/CF</t>
  </si>
  <si>
    <t>ML/BE</t>
  </si>
  <si>
    <r>
      <rPr>
        <b/>
        <sz val="11"/>
        <color rgb="FFFF0000"/>
        <rFont val="Calibri"/>
        <family val="2"/>
        <scheme val="minor"/>
      </rPr>
      <t>IBS/</t>
    </r>
    <r>
      <rPr>
        <b/>
        <sz val="11"/>
        <color theme="1"/>
        <rFont val="Calibri"/>
        <family val="2"/>
        <scheme val="minor"/>
      </rPr>
      <t>IML</t>
    </r>
  </si>
  <si>
    <r>
      <rPr>
        <b/>
        <sz val="11"/>
        <color rgb="FFFF0000"/>
        <rFont val="Calibri"/>
        <family val="2"/>
        <scheme val="minor"/>
      </rPr>
      <t>IBS</t>
    </r>
    <r>
      <rPr>
        <b/>
        <sz val="11"/>
        <color theme="1"/>
        <rFont val="Calibri"/>
        <family val="2"/>
        <scheme val="minor"/>
      </rPr>
      <t>/IML</t>
    </r>
  </si>
  <si>
    <t>FC in 303.</t>
  </si>
  <si>
    <t>OBGD in 303.</t>
  </si>
  <si>
    <t>CCM/DV/IFM</t>
  </si>
  <si>
    <t>FBL in 302.</t>
  </si>
  <si>
    <t>Pooja Sharma</t>
  </si>
  <si>
    <t>FFLB/FNL/SMC</t>
  </si>
  <si>
    <t>IFS/TA/IML</t>
  </si>
  <si>
    <t>IBS/IBE/FCB</t>
  </si>
  <si>
    <t>TQM in 302.</t>
  </si>
  <si>
    <t>Entrepreneurial Mindset</t>
  </si>
  <si>
    <t>Dr. Kaifi Azam</t>
  </si>
  <si>
    <t>Mr. Anmol Basant</t>
  </si>
  <si>
    <t>Ms. Tatsita</t>
  </si>
  <si>
    <t>STPI</t>
  </si>
  <si>
    <t>Dr. Manisha</t>
  </si>
  <si>
    <t>Dr. Anuja</t>
  </si>
  <si>
    <t>Dr. Azeem</t>
  </si>
  <si>
    <t>BBA, Semester - I (Section-C), Room No: -203</t>
  </si>
  <si>
    <t>BBA, Semester - I (Section-D), Room No: -203</t>
  </si>
  <si>
    <t>BBA, Semester - III (Section-A), Room No: -301</t>
  </si>
  <si>
    <t>BBA, Semester - III (Section-B), Room No: - 301</t>
  </si>
  <si>
    <t>BBA, Semester - III (Section-C), Room No: -304</t>
  </si>
  <si>
    <t>BBA, Semester - III (Section-D), Room No: - 304</t>
  </si>
  <si>
    <t>BE1</t>
  </si>
  <si>
    <t>BE-1 in 207.</t>
  </si>
  <si>
    <t>BM in 207.</t>
  </si>
  <si>
    <t>IFS/FCB</t>
  </si>
  <si>
    <t>IE/IBE</t>
  </si>
  <si>
    <t>PHRM in 305.</t>
  </si>
  <si>
    <t>SMDV in 204.</t>
  </si>
  <si>
    <t>SMDV in 203.</t>
  </si>
  <si>
    <t>FNL/SMC</t>
  </si>
  <si>
    <t>CF/FFLB/MLA</t>
  </si>
  <si>
    <t>FNL/FFLB</t>
  </si>
  <si>
    <t>SMDS</t>
  </si>
  <si>
    <t>SMDS in 207</t>
  </si>
  <si>
    <t>SMDS in 306.</t>
  </si>
  <si>
    <t>SMDS in 306.TQM in 302.</t>
  </si>
  <si>
    <t>SMDS in 207.</t>
  </si>
  <si>
    <t>SMDS in 305.</t>
  </si>
  <si>
    <t>BM in 306.</t>
  </si>
  <si>
    <t>FBL in 305.</t>
  </si>
  <si>
    <t>Fintech/ IFS/IML</t>
  </si>
  <si>
    <t>Fintech in 301, IFS in 304 &amp; IML in 305.</t>
  </si>
  <si>
    <t>FAA in 207.</t>
  </si>
  <si>
    <t>OBGD in 306. PSR in 301.</t>
  </si>
  <si>
    <t>BM in 207. FAA in 305.</t>
  </si>
  <si>
    <t>BE-1 in 207. OBGD in 206</t>
  </si>
  <si>
    <t>BE-1 in 306. PSR in 207.</t>
  </si>
  <si>
    <t>PHRM in 306.</t>
  </si>
  <si>
    <t>OBGD in 305. BM in 201.</t>
  </si>
  <si>
    <t>OBGD in 306.</t>
  </si>
  <si>
    <t>FC in 206.</t>
  </si>
  <si>
    <t>IFS/IML</t>
  </si>
  <si>
    <t>Fintech/IE/IBE</t>
  </si>
  <si>
    <t>Fintech in 304, IE in 301 &amp; IBE in 206.</t>
  </si>
  <si>
    <t>BBA, Semester - I (Section-A), Room No: -206</t>
  </si>
  <si>
    <t>BBA, Semester - I (Section-B), Room No: -206</t>
  </si>
  <si>
    <t>BBA, Semester - I (Section-E), Room No: - 202</t>
  </si>
  <si>
    <t>FAA in 303.OBGD in 306.</t>
  </si>
  <si>
    <t>BM &amp; OBGD in 207.</t>
  </si>
  <si>
    <t>FC in 202. BM in 304.</t>
  </si>
  <si>
    <t>BE-1 in 207. OBGD in 202</t>
  </si>
  <si>
    <t>First BPS in Seminar Hall.</t>
  </si>
  <si>
    <t>SMDS in 306. TQM in Seminar Hall.</t>
  </si>
  <si>
    <t>SMDS in Seminar Hall.TQM in 302.</t>
  </si>
  <si>
    <t>FC in Seminar Hall. FAA in 207.</t>
  </si>
  <si>
    <t>FC in Seminar. FAA in 303. OBGD in 306.</t>
  </si>
  <si>
    <t>FC in Seminar. BM in 304.</t>
  </si>
  <si>
    <t>FC in Seminar hall.</t>
  </si>
  <si>
    <t>FC in seminar hall.</t>
  </si>
  <si>
    <t>DAB in Seminar Hall.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</si>
</sst>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dd\,\ d\ mmmm\,\ yyyy"/>
  </numFmts>
  <fonts count="3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Arial"/>
      <family val="2"/>
    </font>
    <font>
      <sz val="10"/>
      <color rgb="FF000000"/>
      <name val="&quot;Times New Roman&quot;"/>
    </font>
    <font>
      <sz val="10"/>
      <color theme="1"/>
      <name val="&quot;Times New Roman&quot;"/>
    </font>
    <font>
      <sz val="10"/>
      <name val="&quot;Times New Roman&quot;"/>
    </font>
    <font>
      <b/>
      <sz val="11"/>
      <color rgb="FFFF0000"/>
      <name val="Calibri"/>
      <family val="2"/>
      <scheme val="minor"/>
    </font>
    <font>
      <b/>
      <sz val="10"/>
      <name val="&quot;Times New Roman&quot;"/>
    </font>
    <font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A9D08E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BC2E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CE5CD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rgb="FFFBE2D5"/>
      </patternFill>
    </fill>
    <fill>
      <patternFill patternType="solid">
        <fgColor theme="0"/>
        <bgColor rgb="FFDAE9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rgb="FFFFC000"/>
        <bgColor rgb="FFFBE2D5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DAE9F8"/>
      </patternFill>
    </fill>
    <fill>
      <patternFill patternType="solid">
        <fgColor theme="2" tint="-9.9978637043366805E-2"/>
        <bgColor rgb="FFDAE9F8"/>
      </patternFill>
    </fill>
    <fill>
      <patternFill patternType="solid">
        <fgColor theme="4" tint="0.79998168889431442"/>
        <bgColor rgb="FFDAE9F8"/>
      </patternFill>
    </fill>
    <fill>
      <patternFill patternType="solid">
        <fgColor theme="9" tint="0.79998168889431442"/>
        <bgColor rgb="FFDAE9F8"/>
      </patternFill>
    </fill>
    <fill>
      <patternFill patternType="solid">
        <fgColor theme="6" tint="0.39997558519241921"/>
        <bgColor rgb="FFDAE9F8"/>
      </patternFill>
    </fill>
    <fill>
      <patternFill patternType="solid">
        <fgColor theme="3" tint="0.59999389629810485"/>
        <bgColor rgb="FFDAE9F8"/>
      </patternFill>
    </fill>
    <fill>
      <patternFill patternType="solid">
        <fgColor rgb="FFFFC000"/>
        <bgColor rgb="FFFCE5CD"/>
      </patternFill>
    </fill>
    <fill>
      <patternFill patternType="solid">
        <fgColor rgb="FFFFC000"/>
        <bgColor rgb="FFDAE9F8"/>
      </patternFill>
    </fill>
    <fill>
      <patternFill patternType="solid">
        <fgColor rgb="FF92D050"/>
        <bgColor rgb="FFFCE5CD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rgb="FFDAE9F8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8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7" borderId="0" xfId="0" applyFont="1" applyFill="1"/>
    <xf numFmtId="0" fontId="2" fillId="8" borderId="0" xfId="0" applyFont="1" applyFill="1" applyAlignment="1">
      <alignment horizontal="center"/>
    </xf>
    <xf numFmtId="0" fontId="2" fillId="9" borderId="0" xfId="0" applyFont="1" applyFill="1"/>
    <xf numFmtId="0" fontId="9" fillId="9" borderId="0" xfId="0" applyFont="1" applyFill="1"/>
    <xf numFmtId="0" fontId="9" fillId="5" borderId="0" xfId="0" applyFont="1" applyFill="1"/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6" fillId="10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/>
    </xf>
    <xf numFmtId="0" fontId="4" fillId="11" borderId="0" xfId="0" applyFont="1" applyFill="1" applyAlignment="1">
      <alignment horizontal="center"/>
    </xf>
    <xf numFmtId="0" fontId="3" fillId="11" borderId="0" xfId="0" applyFont="1" applyFill="1"/>
    <xf numFmtId="0" fontId="5" fillId="11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15" borderId="0" xfId="0" applyFont="1" applyFill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/>
    <xf numFmtId="0" fontId="2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11" fillId="16" borderId="1" xfId="0" applyFont="1" applyFill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164" fontId="12" fillId="4" borderId="3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164" fontId="12" fillId="17" borderId="3" xfId="0" applyNumberFormat="1" applyFont="1" applyFill="1" applyBorder="1" applyAlignment="1">
      <alignment horizontal="center"/>
    </xf>
    <xf numFmtId="0" fontId="17" fillId="17" borderId="1" xfId="0" applyFont="1" applyFill="1" applyBorder="1" applyAlignment="1">
      <alignment horizontal="left" vertical="center"/>
    </xf>
    <xf numFmtId="0" fontId="23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left" vertical="center"/>
    </xf>
    <xf numFmtId="0" fontId="14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textRotation="90"/>
    </xf>
    <xf numFmtId="164" fontId="12" fillId="4" borderId="4" xfId="0" applyNumberFormat="1" applyFont="1" applyFill="1" applyBorder="1" applyAlignment="1">
      <alignment horizontal="center"/>
    </xf>
    <xf numFmtId="0" fontId="13" fillId="4" borderId="7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center" vertical="center" textRotation="90"/>
    </xf>
    <xf numFmtId="0" fontId="11" fillId="4" borderId="7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13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8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15" fontId="11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1" fillId="21" borderId="2" xfId="0" applyFont="1" applyFill="1" applyBorder="1" applyAlignment="1">
      <alignment horizontal="left" vertical="center"/>
    </xf>
    <xf numFmtId="0" fontId="31" fillId="21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left" vertical="center"/>
    </xf>
    <xf numFmtId="0" fontId="31" fillId="11" borderId="1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left" vertical="center"/>
    </xf>
    <xf numFmtId="0" fontId="32" fillId="22" borderId="1" xfId="0" applyFont="1" applyFill="1" applyBorder="1" applyAlignment="1">
      <alignment horizontal="center"/>
    </xf>
    <xf numFmtId="0" fontId="32" fillId="2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31" fillId="25" borderId="2" xfId="0" applyFont="1" applyFill="1" applyBorder="1"/>
    <xf numFmtId="0" fontId="32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0" fontId="31" fillId="27" borderId="1" xfId="0" applyFont="1" applyFill="1" applyBorder="1" applyAlignment="1">
      <alignment horizontal="left" vertical="center"/>
    </xf>
    <xf numFmtId="0" fontId="31" fillId="22" borderId="1" xfId="0" applyFont="1" applyFill="1" applyBorder="1" applyAlignment="1">
      <alignment horizontal="left" vertical="center"/>
    </xf>
    <xf numFmtId="0" fontId="16" fillId="23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32" fillId="22" borderId="5" xfId="0" applyFont="1" applyFill="1" applyBorder="1" applyAlignment="1">
      <alignment horizontal="left" vertical="center"/>
    </xf>
    <xf numFmtId="0" fontId="31" fillId="22" borderId="6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1" fillId="29" borderId="1" xfId="0" applyFont="1" applyFill="1" applyBorder="1" applyAlignment="1">
      <alignment horizontal="left" vertical="center"/>
    </xf>
    <xf numFmtId="0" fontId="35" fillId="11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31" fillId="22" borderId="10" xfId="0" applyFont="1" applyFill="1" applyBorder="1" applyAlignment="1">
      <alignment horizontal="left" vertical="center"/>
    </xf>
    <xf numFmtId="0" fontId="31" fillId="30" borderId="2" xfId="0" applyFont="1" applyFill="1" applyBorder="1" applyAlignment="1">
      <alignment horizontal="left" vertical="center"/>
    </xf>
    <xf numFmtId="0" fontId="31" fillId="30" borderId="6" xfId="0" applyFont="1" applyFill="1" applyBorder="1" applyAlignment="1">
      <alignment horizontal="left" vertical="center"/>
    </xf>
    <xf numFmtId="0" fontId="31" fillId="31" borderId="6" xfId="0" applyFont="1" applyFill="1" applyBorder="1" applyAlignment="1">
      <alignment horizontal="left" vertical="center"/>
    </xf>
    <xf numFmtId="0" fontId="31" fillId="31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1" fillId="31" borderId="2" xfId="0" applyFont="1" applyFill="1" applyBorder="1" applyAlignment="1">
      <alignment horizontal="left" vertical="center"/>
    </xf>
    <xf numFmtId="0" fontId="31" fillId="32" borderId="6" xfId="0" applyFont="1" applyFill="1" applyBorder="1" applyAlignment="1">
      <alignment horizontal="left" vertical="center"/>
    </xf>
    <xf numFmtId="0" fontId="31" fillId="33" borderId="6" xfId="0" applyFont="1" applyFill="1" applyBorder="1" applyAlignment="1">
      <alignment horizontal="left" vertical="center"/>
    </xf>
    <xf numFmtId="0" fontId="31" fillId="34" borderId="2" xfId="0" applyFont="1" applyFill="1" applyBorder="1" applyAlignment="1">
      <alignment horizontal="left" vertical="center"/>
    </xf>
    <xf numFmtId="0" fontId="31" fillId="34" borderId="6" xfId="0" applyFont="1" applyFill="1" applyBorder="1" applyAlignment="1">
      <alignment horizontal="left" vertical="center"/>
    </xf>
    <xf numFmtId="0" fontId="16" fillId="23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32" fillId="29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32" fillId="29" borderId="1" xfId="0" applyFont="1" applyFill="1" applyBorder="1" applyAlignment="1">
      <alignment horizontal="left" vertical="center"/>
    </xf>
    <xf numFmtId="0" fontId="11" fillId="35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1" fillId="23" borderId="13" xfId="0" applyFont="1" applyFill="1" applyBorder="1" applyAlignment="1">
      <alignment horizontal="center" vertical="center"/>
    </xf>
    <xf numFmtId="0" fontId="11" fillId="24" borderId="14" xfId="0" applyFont="1" applyFill="1" applyBorder="1" applyAlignment="1">
      <alignment horizontal="center" vertical="center"/>
    </xf>
    <xf numFmtId="0" fontId="11" fillId="24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24" borderId="16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24" borderId="1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1" fillId="23" borderId="18" xfId="0" applyFont="1" applyFill="1" applyBorder="1" applyAlignment="1">
      <alignment horizontal="center" vertical="center"/>
    </xf>
    <xf numFmtId="0" fontId="11" fillId="24" borderId="20" xfId="0" applyFont="1" applyFill="1" applyBorder="1" applyAlignment="1">
      <alignment horizontal="center" vertical="center"/>
    </xf>
    <xf numFmtId="0" fontId="11" fillId="23" borderId="1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3" borderId="16" xfId="0" applyFont="1" applyFill="1" applyBorder="1" applyAlignment="1">
      <alignment horizontal="center" vertical="center"/>
    </xf>
    <xf numFmtId="0" fontId="11" fillId="2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3" borderId="17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17" borderId="19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6" fillId="23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23" borderId="13" xfId="0" applyFont="1" applyFill="1" applyBorder="1" applyAlignment="1">
      <alignment horizontal="center" vertical="center" wrapText="1"/>
    </xf>
    <xf numFmtId="0" fontId="11" fillId="24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31" fillId="36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 wrapText="1"/>
    </xf>
    <xf numFmtId="0" fontId="29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35" fillId="11" borderId="5" xfId="0" applyFont="1" applyFill="1" applyBorder="1" applyAlignment="1">
      <alignment horizontal="center" vertical="center"/>
    </xf>
    <xf numFmtId="0" fontId="11" fillId="37" borderId="1" xfId="0" applyFont="1" applyFill="1" applyBorder="1" applyAlignment="1">
      <alignment horizontal="center" vertical="center"/>
    </xf>
    <xf numFmtId="0" fontId="11" fillId="3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2" fillId="29" borderId="10" xfId="0" applyFont="1" applyFill="1" applyBorder="1" applyAlignment="1">
      <alignment horizontal="left" vertical="center"/>
    </xf>
    <xf numFmtId="0" fontId="11" fillId="35" borderId="1" xfId="0" applyFont="1" applyFill="1" applyBorder="1" applyAlignment="1">
      <alignment horizontal="center" vertical="center"/>
    </xf>
    <xf numFmtId="0" fontId="31" fillId="38" borderId="1" xfId="0" applyFont="1" applyFill="1" applyBorder="1" applyAlignment="1">
      <alignment horizontal="left" vertical="center"/>
    </xf>
    <xf numFmtId="0" fontId="15" fillId="38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2" fillId="39" borderId="10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 wrapText="1"/>
    </xf>
    <xf numFmtId="0" fontId="15" fillId="40" borderId="15" xfId="0" applyFont="1" applyFill="1" applyBorder="1" applyAlignment="1">
      <alignment horizontal="center" vertical="center" wrapText="1"/>
    </xf>
    <xf numFmtId="0" fontId="15" fillId="40" borderId="1" xfId="0" applyFont="1" applyFill="1" applyBorder="1" applyAlignment="1">
      <alignment horizontal="center" vertical="center"/>
    </xf>
    <xf numFmtId="0" fontId="15" fillId="40" borderId="16" xfId="0" applyFont="1" applyFill="1" applyBorder="1" applyAlignment="1">
      <alignment horizontal="center" vertical="center" wrapText="1"/>
    </xf>
    <xf numFmtId="0" fontId="16" fillId="40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left" vertical="center"/>
    </xf>
    <xf numFmtId="0" fontId="15" fillId="40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35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/>
    </xf>
    <xf numFmtId="0" fontId="2" fillId="40" borderId="1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36" fillId="7" borderId="11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15" fontId="11" fillId="2" borderId="7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15" fontId="11" fillId="2" borderId="11" xfId="0" applyNumberFormat="1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15" fontId="11" fillId="2" borderId="12" xfId="0" applyNumberFormat="1" applyFont="1" applyFill="1" applyBorder="1" applyAlignment="1">
      <alignment horizontal="center" vertical="center"/>
    </xf>
    <xf numFmtId="15" fontId="11" fillId="2" borderId="15" xfId="0" applyNumberFormat="1" applyFont="1" applyFill="1" applyBorder="1" applyAlignment="1">
      <alignment horizontal="center" vertical="center"/>
    </xf>
    <xf numFmtId="15" fontId="11" fillId="2" borderId="17" xfId="0" applyNumberFormat="1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left" vertical="center"/>
    </xf>
    <xf numFmtId="0" fontId="31" fillId="17" borderId="1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4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9" defaultPivotStyle="PivotStyleLight16">
    <tableStyle name="BBA 3rd Semester-style" pivot="0" count="3" xr9:uid="{DC681CE7-F656-40C6-8DB6-767F811C4A28}">
      <tableStyleElement type="headerRow" dxfId="41"/>
      <tableStyleElement type="firstRowStripe" dxfId="40"/>
      <tableStyleElement type="secondRowStripe" dxfId="39"/>
    </tableStyle>
    <tableStyle name="BBA 5th Semester-style" pivot="0" count="3" xr9:uid="{07106C38-AD4A-4586-9365-0D6058284B72}">
      <tableStyleElement type="headerRow" dxfId="38"/>
      <tableStyleElement type="firstRowStripe" dxfId="37"/>
      <tableStyleElement type="secondRowStripe" dxfId="36"/>
    </tableStyle>
  </tableStyles>
  <colors>
    <mruColors>
      <color rgb="FF3474F4"/>
      <color rgb="FF86C464"/>
      <color rgb="FF57CCE3"/>
      <color rgb="FFDA4A8B"/>
      <color rgb="FF66FF66"/>
      <color rgb="FFC80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D44127B-B54E-4647-AE1A-EFBC98324034}">
  <we:reference id="wa200005271" version="1.1.0.0" store="en-US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D63785D-9BF6-41E6-B1A6-C199F5AE714A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FD21D4F-B9C8-4E4A-8927-244ACA5947AF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46" sqref="R46"/>
    </sheetView>
  </sheetViews>
  <sheetFormatPr defaultRowHeight="15"/>
  <cols>
    <col min="1" max="1" width="10.140625" style="87" bestFit="1" customWidth="1"/>
    <col min="2" max="2" width="10.85546875" style="88" customWidth="1"/>
    <col min="3" max="3" width="14.5703125" style="108" bestFit="1" customWidth="1"/>
    <col min="4" max="4" width="11.7109375" style="22" bestFit="1" customWidth="1"/>
    <col min="5" max="7" width="11.85546875" style="22" bestFit="1" customWidth="1"/>
    <col min="8" max="9" width="12.5703125" style="22" bestFit="1" customWidth="1"/>
    <col min="10" max="10" width="11.85546875" style="22" bestFit="1" customWidth="1"/>
    <col min="11" max="11" width="24.140625" style="5" bestFit="1" customWidth="1"/>
    <col min="12" max="12" width="11.7109375" style="3" bestFit="1" customWidth="1"/>
    <col min="13" max="13" width="9.42578125" style="3" bestFit="1" customWidth="1"/>
    <col min="14" max="14" width="47.140625" style="5" bestFit="1" customWidth="1"/>
    <col min="15" max="15" width="7" style="1" bestFit="1" customWidth="1"/>
    <col min="16" max="16" width="9.140625" style="5" bestFit="1" customWidth="1"/>
    <col min="17" max="17" width="5.140625" style="5" bestFit="1" customWidth="1"/>
    <col min="18" max="18" width="26.42578125" style="5" bestFit="1" customWidth="1"/>
    <col min="19" max="16384" width="9.140625" style="5"/>
  </cols>
  <sheetData>
    <row r="1" spans="1:18" ht="21">
      <c r="A1" s="278" t="s">
        <v>21</v>
      </c>
      <c r="B1" s="278"/>
      <c r="C1" s="278"/>
      <c r="D1" s="278"/>
      <c r="E1" s="278"/>
      <c r="F1" s="278"/>
      <c r="G1" s="278"/>
      <c r="H1" s="278"/>
      <c r="I1" s="278"/>
      <c r="J1" s="278"/>
      <c r="K1" s="2"/>
    </row>
    <row r="2" spans="1:18" ht="18.75">
      <c r="A2" s="279" t="s">
        <v>322</v>
      </c>
      <c r="B2" s="279"/>
      <c r="C2" s="279"/>
      <c r="D2" s="279"/>
      <c r="E2" s="279"/>
      <c r="F2" s="279"/>
      <c r="G2" s="279"/>
      <c r="H2" s="279"/>
      <c r="I2" s="279"/>
      <c r="J2" s="279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6" t="s">
        <v>18</v>
      </c>
      <c r="N3" s="49" t="s">
        <v>1</v>
      </c>
      <c r="O3" s="49" t="s">
        <v>2</v>
      </c>
      <c r="P3" s="4" t="s">
        <v>3</v>
      </c>
      <c r="Q3" s="4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0" t="s">
        <v>45</v>
      </c>
      <c r="E4" s="126"/>
      <c r="F4" s="13" t="s">
        <v>104</v>
      </c>
      <c r="G4" s="14"/>
      <c r="H4" s="125"/>
      <c r="I4" s="13" t="s">
        <v>102</v>
      </c>
      <c r="J4" s="126"/>
      <c r="K4" s="170"/>
      <c r="L4" s="116" t="s">
        <v>87</v>
      </c>
      <c r="M4" s="96" t="s">
        <v>43</v>
      </c>
      <c r="N4" s="117" t="s">
        <v>39</v>
      </c>
      <c r="O4" s="116">
        <v>4</v>
      </c>
      <c r="P4" s="48">
        <f>Q4/1.25</f>
        <v>48</v>
      </c>
      <c r="Q4" s="95">
        <f>O4*15</f>
        <v>60</v>
      </c>
      <c r="R4" s="118" t="s">
        <v>95</v>
      </c>
    </row>
    <row r="5" spans="1:18" ht="15" customHeight="1">
      <c r="A5" s="113">
        <v>46231</v>
      </c>
      <c r="B5" s="13" t="s">
        <v>68</v>
      </c>
      <c r="C5" s="13">
        <f>C4+1</f>
        <v>2</v>
      </c>
      <c r="D5" s="126"/>
      <c r="E5" s="10" t="s">
        <v>43</v>
      </c>
      <c r="F5" s="125"/>
      <c r="G5" s="14"/>
      <c r="H5" s="13" t="s">
        <v>103</v>
      </c>
      <c r="I5" s="10" t="s">
        <v>102</v>
      </c>
      <c r="J5" s="13"/>
      <c r="K5" s="170" t="s">
        <v>254</v>
      </c>
      <c r="L5" s="116" t="s">
        <v>88</v>
      </c>
      <c r="M5" s="96" t="s">
        <v>102</v>
      </c>
      <c r="N5" s="117" t="s">
        <v>38</v>
      </c>
      <c r="O5" s="116">
        <v>3</v>
      </c>
      <c r="P5" s="48">
        <f t="shared" ref="P5:P7" si="0">Q5/1.25</f>
        <v>36</v>
      </c>
      <c r="Q5" s="95">
        <f t="shared" ref="Q5:Q7" si="1">O5*15</f>
        <v>45</v>
      </c>
      <c r="R5" s="118" t="s">
        <v>96</v>
      </c>
    </row>
    <row r="6" spans="1:18">
      <c r="A6" s="113">
        <v>46232</v>
      </c>
      <c r="B6" s="13" t="s">
        <v>69</v>
      </c>
      <c r="C6" s="171">
        <f t="shared" ref="C6:C9" si="2">C5+1</f>
        <v>3</v>
      </c>
      <c r="D6" s="10" t="s">
        <v>44</v>
      </c>
      <c r="E6" s="126"/>
      <c r="F6" s="13" t="s">
        <v>103</v>
      </c>
      <c r="G6" s="14"/>
      <c r="H6" s="125"/>
      <c r="I6" s="13" t="s">
        <v>64</v>
      </c>
      <c r="J6" s="126"/>
      <c r="L6" s="116" t="s">
        <v>89</v>
      </c>
      <c r="M6" s="96" t="s">
        <v>64</v>
      </c>
      <c r="N6" s="117" t="s">
        <v>82</v>
      </c>
      <c r="O6" s="116">
        <v>2</v>
      </c>
      <c r="P6" s="48">
        <f t="shared" si="0"/>
        <v>24</v>
      </c>
      <c r="Q6" s="95">
        <f t="shared" si="1"/>
        <v>30</v>
      </c>
      <c r="R6" s="127" t="s">
        <v>278</v>
      </c>
    </row>
    <row r="7" spans="1:18">
      <c r="A7" s="113">
        <v>46233</v>
      </c>
      <c r="B7" s="13" t="s">
        <v>70</v>
      </c>
      <c r="C7" s="171">
        <f t="shared" si="2"/>
        <v>4</v>
      </c>
      <c r="D7" s="126"/>
      <c r="E7" s="10" t="s">
        <v>102</v>
      </c>
      <c r="F7" s="125"/>
      <c r="G7" s="14"/>
      <c r="H7" s="13" t="s">
        <v>43</v>
      </c>
      <c r="I7" s="125"/>
      <c r="J7" s="10" t="s">
        <v>104</v>
      </c>
      <c r="L7" s="116" t="s">
        <v>90</v>
      </c>
      <c r="M7" s="96" t="s">
        <v>103</v>
      </c>
      <c r="N7" s="117" t="s">
        <v>83</v>
      </c>
      <c r="O7" s="116">
        <v>3</v>
      </c>
      <c r="P7" s="48">
        <f t="shared" si="0"/>
        <v>36</v>
      </c>
      <c r="Q7" s="95">
        <f t="shared" si="1"/>
        <v>45</v>
      </c>
      <c r="R7" s="118" t="s">
        <v>97</v>
      </c>
    </row>
    <row r="8" spans="1:18">
      <c r="A8" s="113">
        <v>46234</v>
      </c>
      <c r="B8" s="13" t="s">
        <v>71</v>
      </c>
      <c r="C8" s="171">
        <f t="shared" si="2"/>
        <v>5</v>
      </c>
      <c r="D8" s="10" t="s">
        <v>64</v>
      </c>
      <c r="E8" s="126"/>
      <c r="F8" s="13" t="s">
        <v>43</v>
      </c>
      <c r="G8" s="14"/>
      <c r="H8" s="125"/>
      <c r="I8" s="13" t="s">
        <v>44</v>
      </c>
      <c r="J8" s="126"/>
      <c r="L8" s="116" t="s">
        <v>91</v>
      </c>
      <c r="M8" s="96" t="s">
        <v>214</v>
      </c>
      <c r="N8" s="117" t="s">
        <v>275</v>
      </c>
      <c r="O8" s="116">
        <v>2</v>
      </c>
      <c r="P8" s="7">
        <f>Q8/1.25</f>
        <v>24</v>
      </c>
      <c r="Q8" s="7">
        <f>O8*15</f>
        <v>30</v>
      </c>
      <c r="R8" s="118" t="s">
        <v>279</v>
      </c>
    </row>
    <row r="9" spans="1:18">
      <c r="A9" s="113">
        <v>46235</v>
      </c>
      <c r="B9" s="13" t="s">
        <v>72</v>
      </c>
      <c r="C9" s="171">
        <f t="shared" si="2"/>
        <v>6</v>
      </c>
      <c r="D9" s="10"/>
      <c r="E9" s="10"/>
      <c r="F9" s="13"/>
      <c r="G9" s="14"/>
      <c r="H9" s="13"/>
      <c r="I9" s="13"/>
      <c r="J9" s="109"/>
      <c r="L9" s="116" t="s">
        <v>92</v>
      </c>
      <c r="M9" s="97" t="s">
        <v>104</v>
      </c>
      <c r="N9" s="117" t="s">
        <v>84</v>
      </c>
      <c r="O9" s="116">
        <v>3</v>
      </c>
      <c r="P9" s="7">
        <f t="shared" ref="P9" si="3">Q9/1.25</f>
        <v>36</v>
      </c>
      <c r="Q9" s="7">
        <f>O9*15</f>
        <v>45</v>
      </c>
      <c r="R9" s="118" t="s">
        <v>99</v>
      </c>
    </row>
    <row r="10" spans="1:18">
      <c r="A10" s="113">
        <v>46236</v>
      </c>
      <c r="B10" s="13" t="s">
        <v>73</v>
      </c>
      <c r="C10" s="171"/>
      <c r="D10" s="13"/>
      <c r="E10" s="12"/>
      <c r="F10" s="13"/>
      <c r="G10" s="15"/>
      <c r="H10" s="109"/>
      <c r="I10" s="10"/>
      <c r="J10" s="13"/>
      <c r="L10" s="116" t="s">
        <v>93</v>
      </c>
      <c r="M10" s="98" t="s">
        <v>45</v>
      </c>
      <c r="N10" s="117" t="s">
        <v>85</v>
      </c>
      <c r="O10" s="116">
        <v>2</v>
      </c>
      <c r="P10" s="7">
        <f t="shared" ref="P10:P11" si="4">Q10/1.25</f>
        <v>24</v>
      </c>
      <c r="Q10" s="7">
        <f t="shared" ref="Q10:Q11" si="5">O10*15</f>
        <v>30</v>
      </c>
      <c r="R10" s="118" t="s">
        <v>100</v>
      </c>
    </row>
    <row r="11" spans="1:18">
      <c r="A11" s="113">
        <v>46237</v>
      </c>
      <c r="B11" s="13" t="s">
        <v>67</v>
      </c>
      <c r="C11" s="171">
        <f>C9+1</f>
        <v>7</v>
      </c>
      <c r="D11" s="55"/>
      <c r="E11" s="126"/>
      <c r="F11" s="13" t="s">
        <v>104</v>
      </c>
      <c r="G11" s="14"/>
      <c r="H11" s="125"/>
      <c r="I11" s="13" t="s">
        <v>102</v>
      </c>
      <c r="J11" s="126"/>
      <c r="L11" s="116" t="s">
        <v>94</v>
      </c>
      <c r="M11" s="51" t="s">
        <v>44</v>
      </c>
      <c r="N11" s="117" t="s">
        <v>86</v>
      </c>
      <c r="O11" s="116">
        <v>3</v>
      </c>
      <c r="P11" s="7">
        <f t="shared" si="4"/>
        <v>36</v>
      </c>
      <c r="Q11" s="7">
        <f t="shared" si="5"/>
        <v>45</v>
      </c>
      <c r="R11" s="118" t="s">
        <v>230</v>
      </c>
    </row>
    <row r="12" spans="1:18">
      <c r="A12" s="113">
        <v>46238</v>
      </c>
      <c r="B12" s="13" t="s">
        <v>68</v>
      </c>
      <c r="C12" s="171">
        <f>C11+1</f>
        <v>8</v>
      </c>
      <c r="D12" s="126"/>
      <c r="E12" s="10" t="s">
        <v>43</v>
      </c>
      <c r="F12" s="125"/>
      <c r="G12" s="14"/>
      <c r="H12" s="13" t="s">
        <v>103</v>
      </c>
      <c r="I12" s="10" t="s">
        <v>102</v>
      </c>
      <c r="J12" s="13"/>
      <c r="K12" s="170" t="s">
        <v>254</v>
      </c>
      <c r="L12" s="111"/>
      <c r="M12" s="107"/>
      <c r="N12" s="112"/>
      <c r="O12" s="119">
        <f>SUM(O4:O11)</f>
        <v>22</v>
      </c>
      <c r="P12" s="119">
        <f>SUM(P4:P11)</f>
        <v>264</v>
      </c>
      <c r="Q12" s="119">
        <f>SUM(Q4:Q11)</f>
        <v>330</v>
      </c>
      <c r="R12" s="54"/>
    </row>
    <row r="13" spans="1:18">
      <c r="A13" s="113">
        <v>46239</v>
      </c>
      <c r="B13" s="13" t="s">
        <v>69</v>
      </c>
      <c r="C13" s="171">
        <f t="shared" ref="C13:C16" si="6">C12+1</f>
        <v>9</v>
      </c>
      <c r="D13" s="10" t="s">
        <v>44</v>
      </c>
      <c r="E13" s="126"/>
      <c r="F13" s="13" t="s">
        <v>103</v>
      </c>
      <c r="G13" s="14"/>
      <c r="H13" s="125"/>
      <c r="I13" s="13" t="s">
        <v>64</v>
      </c>
      <c r="J13" s="126"/>
    </row>
    <row r="14" spans="1:18">
      <c r="A14" s="113">
        <v>46240</v>
      </c>
      <c r="B14" s="13" t="s">
        <v>70</v>
      </c>
      <c r="C14" s="171">
        <f t="shared" si="6"/>
        <v>10</v>
      </c>
      <c r="D14" s="126"/>
      <c r="E14" s="10" t="s">
        <v>102</v>
      </c>
      <c r="F14" s="125"/>
      <c r="G14" s="14"/>
      <c r="H14" s="13" t="s">
        <v>43</v>
      </c>
      <c r="I14" s="125"/>
      <c r="J14" s="10" t="s">
        <v>104</v>
      </c>
    </row>
    <row r="15" spans="1:18">
      <c r="A15" s="113">
        <v>46241</v>
      </c>
      <c r="B15" s="13" t="s">
        <v>71</v>
      </c>
      <c r="C15" s="171">
        <f t="shared" si="6"/>
        <v>11</v>
      </c>
      <c r="D15" s="10" t="s">
        <v>64</v>
      </c>
      <c r="E15" s="126"/>
      <c r="F15" s="13" t="s">
        <v>43</v>
      </c>
      <c r="G15" s="14"/>
      <c r="H15" s="125"/>
      <c r="I15" s="13" t="s">
        <v>44</v>
      </c>
      <c r="J15" s="126"/>
    </row>
    <row r="16" spans="1:18">
      <c r="A16" s="113">
        <v>46242</v>
      </c>
      <c r="B16" s="13" t="s">
        <v>72</v>
      </c>
      <c r="C16" s="171">
        <f t="shared" si="6"/>
        <v>12</v>
      </c>
      <c r="D16" s="10"/>
      <c r="E16" s="10"/>
      <c r="F16" s="13"/>
      <c r="G16" s="14"/>
      <c r="H16" s="13"/>
      <c r="I16" s="13"/>
      <c r="J16" s="109"/>
      <c r="L16" s="26"/>
      <c r="N16" s="28"/>
      <c r="O16" s="5"/>
      <c r="P16" s="1"/>
      <c r="Q16" s="1"/>
      <c r="R16" s="26"/>
    </row>
    <row r="17" spans="1:17" hidden="1">
      <c r="A17" s="113">
        <v>46243</v>
      </c>
      <c r="B17" s="13" t="s">
        <v>73</v>
      </c>
      <c r="C17" s="171"/>
      <c r="D17" s="13"/>
      <c r="E17" s="12"/>
      <c r="F17" s="13"/>
      <c r="G17" s="15"/>
      <c r="H17" s="109"/>
      <c r="I17" s="10"/>
      <c r="J17" s="13"/>
      <c r="N17" s="28"/>
      <c r="O17" s="5"/>
      <c r="P17" s="1"/>
    </row>
    <row r="18" spans="1:17" hidden="1">
      <c r="A18" s="113">
        <v>46244</v>
      </c>
      <c r="B18" s="13" t="s">
        <v>67</v>
      </c>
      <c r="C18" s="171">
        <f>C16+1</f>
        <v>13</v>
      </c>
      <c r="D18" s="55" t="s">
        <v>45</v>
      </c>
      <c r="E18" s="126"/>
      <c r="F18" s="13" t="s">
        <v>104</v>
      </c>
      <c r="G18" s="14"/>
      <c r="H18" s="125"/>
      <c r="I18" s="13" t="s">
        <v>102</v>
      </c>
      <c r="J18" s="126"/>
      <c r="N18" s="28"/>
      <c r="O18" s="5"/>
      <c r="P18" s="1"/>
    </row>
    <row r="19" spans="1:17" hidden="1">
      <c r="A19" s="113">
        <v>46245</v>
      </c>
      <c r="B19" s="13" t="s">
        <v>68</v>
      </c>
      <c r="C19" s="171">
        <f>C18+1</f>
        <v>14</v>
      </c>
      <c r="D19" s="126"/>
      <c r="E19" s="232" t="s">
        <v>103</v>
      </c>
      <c r="F19" s="125"/>
      <c r="G19" s="14"/>
      <c r="H19" s="233" t="s">
        <v>43</v>
      </c>
      <c r="I19" s="236" t="s">
        <v>102</v>
      </c>
      <c r="J19" s="13"/>
      <c r="K19" s="5" t="s">
        <v>290</v>
      </c>
      <c r="N19" s="28"/>
      <c r="O19" s="5"/>
      <c r="P19" s="1"/>
    </row>
    <row r="20" spans="1:17" hidden="1">
      <c r="A20" s="113">
        <v>46246</v>
      </c>
      <c r="B20" s="13" t="s">
        <v>69</v>
      </c>
      <c r="C20" s="171">
        <f t="shared" ref="C20:C22" si="7">C19+1</f>
        <v>15</v>
      </c>
      <c r="D20" s="10" t="s">
        <v>44</v>
      </c>
      <c r="E20" s="126" t="s">
        <v>45</v>
      </c>
      <c r="F20" s="13" t="s">
        <v>103</v>
      </c>
      <c r="G20" s="14"/>
      <c r="H20" s="125"/>
      <c r="I20" s="13" t="s">
        <v>64</v>
      </c>
      <c r="J20" s="126"/>
      <c r="N20" s="28"/>
      <c r="O20" s="5"/>
      <c r="P20" s="1"/>
    </row>
    <row r="21" spans="1:17" hidden="1">
      <c r="A21" s="113">
        <v>46247</v>
      </c>
      <c r="B21" s="13" t="s">
        <v>70</v>
      </c>
      <c r="C21" s="171">
        <f t="shared" si="7"/>
        <v>16</v>
      </c>
      <c r="D21" s="126"/>
      <c r="E21" s="55" t="s">
        <v>289</v>
      </c>
      <c r="F21" s="125"/>
      <c r="G21" s="14"/>
      <c r="H21" s="13" t="s">
        <v>43</v>
      </c>
      <c r="I21" s="68" t="s">
        <v>44</v>
      </c>
      <c r="J21" s="10" t="s">
        <v>104</v>
      </c>
      <c r="K21" s="5" t="s">
        <v>291</v>
      </c>
      <c r="N21" s="28"/>
      <c r="O21" s="5"/>
      <c r="P21" s="1"/>
    </row>
    <row r="22" spans="1:17" hidden="1">
      <c r="A22" s="113">
        <v>46248</v>
      </c>
      <c r="B22" s="13" t="s">
        <v>71</v>
      </c>
      <c r="C22" s="171">
        <f t="shared" si="7"/>
        <v>17</v>
      </c>
      <c r="D22" s="10" t="s">
        <v>64</v>
      </c>
      <c r="E22" s="126"/>
      <c r="F22" s="13" t="s">
        <v>43</v>
      </c>
      <c r="G22" s="14"/>
      <c r="H22" s="125"/>
      <c r="I22" s="13" t="s">
        <v>44</v>
      </c>
      <c r="J22" s="126"/>
      <c r="N22" s="28"/>
      <c r="O22" s="5"/>
      <c r="P22" s="1"/>
    </row>
    <row r="23" spans="1:17" hidden="1">
      <c r="A23" s="113">
        <v>46249</v>
      </c>
      <c r="B23" s="13" t="s">
        <v>72</v>
      </c>
      <c r="C23" s="274" t="s">
        <v>23</v>
      </c>
      <c r="D23" s="10"/>
      <c r="E23" s="10"/>
      <c r="F23" s="13"/>
      <c r="G23" s="14"/>
      <c r="H23" s="13"/>
      <c r="I23" s="13"/>
      <c r="J23" s="109"/>
      <c r="N23" s="28"/>
      <c r="O23" s="5"/>
      <c r="P23" s="1"/>
    </row>
    <row r="24" spans="1:17" hidden="1">
      <c r="A24" s="113">
        <v>46250</v>
      </c>
      <c r="B24" s="13" t="s">
        <v>73</v>
      </c>
      <c r="C24" s="227"/>
      <c r="D24" s="13"/>
      <c r="E24" s="12"/>
      <c r="F24" s="13"/>
      <c r="G24" s="15"/>
      <c r="H24" s="109"/>
      <c r="I24" s="10"/>
      <c r="J24" s="13"/>
      <c r="N24" s="28"/>
      <c r="O24" s="5"/>
      <c r="P24" s="1"/>
    </row>
    <row r="25" spans="1:17" hidden="1">
      <c r="A25" s="113">
        <v>46251</v>
      </c>
      <c r="B25" s="13" t="s">
        <v>67</v>
      </c>
      <c r="C25" s="227">
        <f>C22+1</f>
        <v>18</v>
      </c>
      <c r="D25" s="10"/>
      <c r="E25" s="126"/>
      <c r="F25" s="13" t="s">
        <v>104</v>
      </c>
      <c r="G25" s="14"/>
      <c r="H25" s="125" t="s">
        <v>45</v>
      </c>
      <c r="I25" s="13" t="s">
        <v>102</v>
      </c>
      <c r="J25" s="126"/>
      <c r="O25" s="5"/>
      <c r="P25" s="1"/>
    </row>
    <row r="26" spans="1:17" hidden="1">
      <c r="A26" s="113">
        <v>46252</v>
      </c>
      <c r="B26" s="13" t="s">
        <v>68</v>
      </c>
      <c r="C26" s="227">
        <f>C25+1</f>
        <v>19</v>
      </c>
      <c r="D26" s="126"/>
      <c r="E26" s="10" t="s">
        <v>103</v>
      </c>
      <c r="F26" s="125"/>
      <c r="G26" s="14"/>
      <c r="H26" s="13" t="s">
        <v>43</v>
      </c>
      <c r="I26" s="236" t="s">
        <v>102</v>
      </c>
      <c r="J26" s="13"/>
      <c r="K26" s="5" t="s">
        <v>290</v>
      </c>
      <c r="O26" s="5"/>
      <c r="P26" s="1"/>
      <c r="Q26" s="1"/>
    </row>
    <row r="27" spans="1:17" hidden="1">
      <c r="A27" s="113">
        <v>46253</v>
      </c>
      <c r="B27" s="13" t="s">
        <v>69</v>
      </c>
      <c r="C27" s="227">
        <f t="shared" ref="C27:C30" si="8">C26+1</f>
        <v>20</v>
      </c>
      <c r="D27" s="10" t="s">
        <v>44</v>
      </c>
      <c r="E27" s="126" t="s">
        <v>45</v>
      </c>
      <c r="F27" s="13" t="s">
        <v>103</v>
      </c>
      <c r="G27" s="14"/>
      <c r="H27" s="125" t="s">
        <v>43</v>
      </c>
      <c r="I27" s="13" t="s">
        <v>64</v>
      </c>
      <c r="J27" s="126"/>
      <c r="K27" s="5" t="s">
        <v>310</v>
      </c>
      <c r="O27" s="5"/>
    </row>
    <row r="28" spans="1:17" hidden="1">
      <c r="A28" s="113">
        <v>46254</v>
      </c>
      <c r="B28" s="13" t="s">
        <v>70</v>
      </c>
      <c r="C28" s="227">
        <f t="shared" si="8"/>
        <v>21</v>
      </c>
      <c r="D28" s="10" t="s">
        <v>104</v>
      </c>
      <c r="E28" s="10" t="s">
        <v>102</v>
      </c>
      <c r="F28" s="125"/>
      <c r="G28" s="14"/>
      <c r="H28" s="13" t="s">
        <v>43</v>
      </c>
      <c r="I28" s="68" t="s">
        <v>44</v>
      </c>
      <c r="J28" s="13"/>
      <c r="K28" s="5" t="s">
        <v>316</v>
      </c>
      <c r="O28" s="5"/>
    </row>
    <row r="29" spans="1:17" hidden="1">
      <c r="A29" s="113">
        <v>46255</v>
      </c>
      <c r="B29" s="13" t="s">
        <v>71</v>
      </c>
      <c r="C29" s="227">
        <f t="shared" si="8"/>
        <v>22</v>
      </c>
      <c r="D29" s="10" t="s">
        <v>64</v>
      </c>
      <c r="E29" s="126" t="s">
        <v>104</v>
      </c>
      <c r="F29" s="13" t="s">
        <v>43</v>
      </c>
      <c r="G29" s="14"/>
      <c r="H29" s="125" t="s">
        <v>103</v>
      </c>
      <c r="I29" s="13" t="s">
        <v>44</v>
      </c>
      <c r="J29" s="126"/>
      <c r="K29" s="5" t="s">
        <v>311</v>
      </c>
      <c r="O29" s="5"/>
    </row>
    <row r="30" spans="1:17" hidden="1">
      <c r="A30" s="113">
        <v>46256</v>
      </c>
      <c r="B30" s="13" t="s">
        <v>72</v>
      </c>
      <c r="C30" s="227">
        <f t="shared" si="8"/>
        <v>23</v>
      </c>
      <c r="D30" s="10"/>
      <c r="E30" s="10"/>
      <c r="F30" s="13"/>
      <c r="G30" s="14"/>
      <c r="H30" s="13"/>
      <c r="I30" s="13"/>
      <c r="J30" s="109"/>
      <c r="O30" s="5"/>
    </row>
    <row r="31" spans="1:17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0"/>
      <c r="J31" s="13"/>
      <c r="O31" s="5"/>
    </row>
    <row r="32" spans="1:17" hidden="1">
      <c r="A32" s="113">
        <v>46258</v>
      </c>
      <c r="B32" s="13" t="s">
        <v>67</v>
      </c>
      <c r="C32" s="227">
        <f>C29+1</f>
        <v>23</v>
      </c>
      <c r="D32" s="10"/>
      <c r="E32" s="126"/>
      <c r="F32" s="13" t="s">
        <v>104</v>
      </c>
      <c r="G32" s="14"/>
      <c r="H32" s="125" t="s">
        <v>45</v>
      </c>
      <c r="I32" s="13" t="s">
        <v>102</v>
      </c>
      <c r="J32" s="126"/>
      <c r="O32" s="5"/>
    </row>
    <row r="33" spans="1:18" hidden="1">
      <c r="A33" s="113">
        <v>46259</v>
      </c>
      <c r="B33" s="13" t="s">
        <v>68</v>
      </c>
      <c r="C33" s="227">
        <f>C32+1</f>
        <v>24</v>
      </c>
      <c r="D33" s="126"/>
      <c r="E33" s="10" t="s">
        <v>103</v>
      </c>
      <c r="F33" s="125"/>
      <c r="G33" s="14"/>
      <c r="H33" s="13" t="s">
        <v>43</v>
      </c>
      <c r="I33" s="236" t="s">
        <v>102</v>
      </c>
      <c r="J33" s="13"/>
      <c r="K33" s="5" t="s">
        <v>290</v>
      </c>
      <c r="O33" s="5"/>
    </row>
    <row r="34" spans="1:18" hidden="1">
      <c r="A34" s="113">
        <v>46260</v>
      </c>
      <c r="B34" s="13" t="s">
        <v>69</v>
      </c>
      <c r="C34" s="227">
        <f t="shared" ref="C34:C35" si="9">C33+1</f>
        <v>25</v>
      </c>
      <c r="D34" s="10" t="s">
        <v>44</v>
      </c>
      <c r="E34" s="126" t="s">
        <v>45</v>
      </c>
      <c r="F34" s="13" t="s">
        <v>103</v>
      </c>
      <c r="G34" s="14"/>
      <c r="H34" s="125" t="s">
        <v>43</v>
      </c>
      <c r="I34" s="13" t="s">
        <v>64</v>
      </c>
      <c r="J34" s="126"/>
      <c r="K34" s="5" t="s">
        <v>310</v>
      </c>
      <c r="O34" s="5"/>
      <c r="R34" s="1"/>
    </row>
    <row r="35" spans="1:18" hidden="1">
      <c r="A35" s="113">
        <v>46261</v>
      </c>
      <c r="B35" s="13" t="s">
        <v>70</v>
      </c>
      <c r="C35" s="227">
        <f t="shared" si="9"/>
        <v>26</v>
      </c>
      <c r="D35" s="10" t="s">
        <v>104</v>
      </c>
      <c r="E35" s="10" t="s">
        <v>102</v>
      </c>
      <c r="F35" s="125"/>
      <c r="G35" s="14"/>
      <c r="H35" s="13" t="s">
        <v>43</v>
      </c>
      <c r="I35" s="68" t="s">
        <v>44</v>
      </c>
      <c r="J35" s="13"/>
      <c r="K35" s="5" t="s">
        <v>316</v>
      </c>
      <c r="O35" s="5"/>
      <c r="Q35" s="1"/>
    </row>
    <row r="36" spans="1:18" hidden="1">
      <c r="A36" s="113">
        <v>46262</v>
      </c>
      <c r="B36" s="13" t="s">
        <v>71</v>
      </c>
      <c r="C36" s="227" t="s">
        <v>22</v>
      </c>
      <c r="D36" s="10"/>
      <c r="E36" s="126"/>
      <c r="F36" s="13"/>
      <c r="G36" s="14"/>
      <c r="H36" s="125"/>
      <c r="I36" s="13"/>
      <c r="J36" s="126"/>
      <c r="K36" s="5" t="s">
        <v>311</v>
      </c>
      <c r="O36" s="5"/>
      <c r="Q36" s="1"/>
    </row>
    <row r="37" spans="1:18" hidden="1">
      <c r="A37" s="113">
        <v>46263</v>
      </c>
      <c r="B37" s="13" t="s">
        <v>72</v>
      </c>
      <c r="C37" s="228">
        <f>C35+1</f>
        <v>27</v>
      </c>
      <c r="D37" s="10"/>
      <c r="E37" s="10"/>
      <c r="F37" s="13"/>
      <c r="G37" s="14"/>
      <c r="H37" s="13"/>
      <c r="I37" s="13"/>
      <c r="J37" s="109"/>
      <c r="O37" s="5"/>
      <c r="Q37" s="1"/>
    </row>
    <row r="38" spans="1:18">
      <c r="A38" s="113">
        <v>46264</v>
      </c>
      <c r="B38" s="13" t="s">
        <v>73</v>
      </c>
      <c r="C38" s="229"/>
      <c r="D38" s="13"/>
      <c r="E38" s="12"/>
      <c r="F38" s="13"/>
      <c r="G38" s="15"/>
      <c r="H38" s="109"/>
      <c r="I38" s="10"/>
      <c r="J38" s="13"/>
      <c r="O38" s="5"/>
      <c r="Q38" s="1"/>
    </row>
    <row r="39" spans="1:18">
      <c r="A39" s="113">
        <v>46265</v>
      </c>
      <c r="B39" s="13" t="s">
        <v>67</v>
      </c>
      <c r="C39" s="227">
        <f>C37+1</f>
        <v>28</v>
      </c>
      <c r="D39" s="10"/>
      <c r="E39" s="126"/>
      <c r="F39" s="13" t="s">
        <v>104</v>
      </c>
      <c r="G39" s="14"/>
      <c r="H39" s="125" t="s">
        <v>45</v>
      </c>
      <c r="I39" s="13" t="s">
        <v>102</v>
      </c>
      <c r="J39" s="126"/>
      <c r="N39" s="28"/>
      <c r="O39" s="5"/>
      <c r="Q39" s="1"/>
    </row>
    <row r="40" spans="1:18">
      <c r="A40" s="113">
        <v>46266</v>
      </c>
      <c r="B40" s="13" t="s">
        <v>68</v>
      </c>
      <c r="C40" s="227">
        <f>C39+1</f>
        <v>29</v>
      </c>
      <c r="D40" s="126"/>
      <c r="E40" s="10" t="s">
        <v>103</v>
      </c>
      <c r="F40" s="125"/>
      <c r="G40" s="14"/>
      <c r="H40" s="13" t="s">
        <v>43</v>
      </c>
      <c r="I40" s="236" t="s">
        <v>102</v>
      </c>
      <c r="J40" s="13"/>
      <c r="K40" s="5" t="s">
        <v>290</v>
      </c>
      <c r="N40" s="1"/>
      <c r="O40" s="5"/>
      <c r="Q40" s="1"/>
    </row>
    <row r="41" spans="1:18">
      <c r="A41" s="113">
        <v>46267</v>
      </c>
      <c r="B41" s="13" t="s">
        <v>69</v>
      </c>
      <c r="C41" s="227">
        <f t="shared" ref="C41:C42" si="10">C40+1</f>
        <v>30</v>
      </c>
      <c r="D41" s="10" t="s">
        <v>44</v>
      </c>
      <c r="E41" s="126" t="s">
        <v>45</v>
      </c>
      <c r="F41" s="13" t="s">
        <v>103</v>
      </c>
      <c r="G41" s="14"/>
      <c r="H41" s="125" t="s">
        <v>43</v>
      </c>
      <c r="I41" s="13" t="s">
        <v>64</v>
      </c>
      <c r="J41" s="126"/>
      <c r="K41" s="5" t="s">
        <v>310</v>
      </c>
      <c r="N41" s="1"/>
      <c r="O41" s="5"/>
      <c r="Q41" s="1"/>
    </row>
    <row r="42" spans="1:18">
      <c r="A42" s="113">
        <v>46268</v>
      </c>
      <c r="B42" s="13" t="s">
        <v>70</v>
      </c>
      <c r="C42" s="227">
        <f t="shared" si="10"/>
        <v>31</v>
      </c>
      <c r="D42" s="10" t="s">
        <v>104</v>
      </c>
      <c r="E42" s="10" t="s">
        <v>102</v>
      </c>
      <c r="F42" s="125"/>
      <c r="G42" s="14"/>
      <c r="H42" s="13" t="s">
        <v>43</v>
      </c>
      <c r="I42" s="68" t="s">
        <v>44</v>
      </c>
      <c r="J42" s="13"/>
      <c r="K42" s="5" t="s">
        <v>316</v>
      </c>
      <c r="N42" s="1"/>
      <c r="O42" s="5"/>
      <c r="P42" s="1"/>
      <c r="Q42" s="1"/>
      <c r="R42" s="28"/>
    </row>
    <row r="43" spans="1:18">
      <c r="A43" s="113">
        <v>46269</v>
      </c>
      <c r="B43" s="13" t="s">
        <v>71</v>
      </c>
      <c r="C43" s="227" t="s">
        <v>81</v>
      </c>
      <c r="D43" s="10"/>
      <c r="E43" s="126"/>
      <c r="F43" s="13"/>
      <c r="G43" s="14"/>
      <c r="H43" s="125"/>
      <c r="I43" s="13"/>
      <c r="J43" s="126"/>
      <c r="N43" s="1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228">
        <f>C42+1</f>
        <v>32</v>
      </c>
      <c r="D44" s="10"/>
      <c r="E44" s="10"/>
      <c r="F44" s="13"/>
      <c r="G44" s="14"/>
      <c r="H44" s="13"/>
      <c r="I44" s="13"/>
      <c r="J44" s="109"/>
      <c r="N44" s="28"/>
      <c r="O44" s="5"/>
      <c r="P44" s="1"/>
      <c r="Q44" s="1"/>
      <c r="R44" s="3"/>
    </row>
    <row r="45" spans="1:18">
      <c r="A45" s="113">
        <v>46271</v>
      </c>
      <c r="B45" s="13" t="s">
        <v>73</v>
      </c>
      <c r="C45" s="227"/>
      <c r="D45" s="13"/>
      <c r="E45" s="12"/>
      <c r="F45" s="13"/>
      <c r="G45" s="15"/>
      <c r="H45" s="109"/>
      <c r="I45" s="10"/>
      <c r="J45" s="13"/>
      <c r="N45" s="1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227">
        <f>C44+1</f>
        <v>33</v>
      </c>
      <c r="D46" s="10"/>
      <c r="E46" s="126"/>
      <c r="F46" s="13" t="s">
        <v>104</v>
      </c>
      <c r="G46" s="14"/>
      <c r="H46" s="125" t="s">
        <v>45</v>
      </c>
      <c r="I46" s="13" t="s">
        <v>102</v>
      </c>
      <c r="J46" s="126"/>
      <c r="N46" s="1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227">
        <f>C46+1</f>
        <v>34</v>
      </c>
      <c r="D47" s="126"/>
      <c r="E47" s="10" t="s">
        <v>103</v>
      </c>
      <c r="F47" s="125"/>
      <c r="G47" s="14"/>
      <c r="H47" s="13" t="s">
        <v>43</v>
      </c>
      <c r="I47" s="236" t="s">
        <v>102</v>
      </c>
      <c r="J47" s="13"/>
      <c r="K47" s="5" t="s">
        <v>290</v>
      </c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227">
        <f t="shared" ref="C48:C51" si="11">C47+1</f>
        <v>35</v>
      </c>
      <c r="D48" s="10" t="s">
        <v>44</v>
      </c>
      <c r="E48" s="126" t="s">
        <v>64</v>
      </c>
      <c r="F48" s="13" t="s">
        <v>64</v>
      </c>
      <c r="G48" s="14"/>
      <c r="H48" s="125" t="s">
        <v>43</v>
      </c>
      <c r="I48" s="13" t="s">
        <v>103</v>
      </c>
      <c r="J48" s="126"/>
      <c r="K48" s="5" t="s">
        <v>332</v>
      </c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227">
        <f t="shared" si="11"/>
        <v>36</v>
      </c>
      <c r="D49" s="10" t="s">
        <v>104</v>
      </c>
      <c r="E49" s="10" t="s">
        <v>102</v>
      </c>
      <c r="F49" s="125"/>
      <c r="G49" s="14"/>
      <c r="H49" s="13" t="s">
        <v>43</v>
      </c>
      <c r="I49" s="68" t="s">
        <v>44</v>
      </c>
      <c r="J49" s="13"/>
      <c r="K49" s="5" t="s">
        <v>316</v>
      </c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227">
        <f t="shared" si="11"/>
        <v>37</v>
      </c>
      <c r="D50" s="10" t="s">
        <v>64</v>
      </c>
      <c r="E50" s="126" t="s">
        <v>104</v>
      </c>
      <c r="F50" s="13" t="s">
        <v>43</v>
      </c>
      <c r="G50" s="14"/>
      <c r="H50" s="125" t="s">
        <v>103</v>
      </c>
      <c r="I50" s="13" t="s">
        <v>44</v>
      </c>
      <c r="J50" s="126"/>
      <c r="K50" s="5" t="s">
        <v>311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227">
        <f t="shared" si="11"/>
        <v>38</v>
      </c>
      <c r="D51" s="10"/>
      <c r="E51" s="10"/>
      <c r="F51" s="13"/>
      <c r="G51" s="14"/>
      <c r="H51" s="13"/>
      <c r="I51" s="13"/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227"/>
      <c r="D52" s="13"/>
      <c r="E52" s="12"/>
      <c r="F52" s="13"/>
      <c r="G52" s="15"/>
      <c r="H52" s="109"/>
      <c r="I52" s="10"/>
      <c r="J52" s="13"/>
      <c r="L52" s="1"/>
      <c r="M52" s="1"/>
      <c r="N52" s="28"/>
      <c r="O52" s="5"/>
      <c r="P52" s="1"/>
      <c r="Q52" s="1"/>
      <c r="R52" s="1"/>
    </row>
  </sheetData>
  <mergeCells count="2">
    <mergeCell ref="A1:J1"/>
    <mergeCell ref="A2:J2"/>
  </mergeCells>
  <phoneticPr fontId="1" type="noConversion"/>
  <conditionalFormatting sqref="B1:B2 B67:B1048576">
    <cfRule type="cellIs" dxfId="35" priority="3" operator="equal">
      <formula>"Sat"</formula>
    </cfRule>
  </conditionalFormatting>
  <conditionalFormatting sqref="B4:B52">
    <cfRule type="containsText" dxfId="34" priority="1" operator="containsText" text="Sun">
      <formula>NOT(ISERROR(SEARCH("Sun",B4)))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166B-BF50-4073-B0BC-BCA2E392D32C}">
  <dimension ref="A1:R52"/>
  <sheetViews>
    <sheetView zoomScale="90" zoomScaleNormal="9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A53" sqref="A53:XFD172"/>
    </sheetView>
  </sheetViews>
  <sheetFormatPr defaultRowHeight="15"/>
  <cols>
    <col min="1" max="1" width="10.140625" style="87" bestFit="1" customWidth="1"/>
    <col min="2" max="2" width="10.85546875" style="88" customWidth="1"/>
    <col min="3" max="3" width="14.5703125" style="108" bestFit="1" customWidth="1"/>
    <col min="4" max="4" width="11.7109375" style="22" bestFit="1" customWidth="1"/>
    <col min="5" max="7" width="11.85546875" style="22" bestFit="1" customWidth="1"/>
    <col min="8" max="9" width="12.5703125" style="22" bestFit="1" customWidth="1"/>
    <col min="10" max="10" width="11.85546875" style="22" bestFit="1" customWidth="1"/>
    <col min="11" max="11" width="23.5703125" style="5" bestFit="1" customWidth="1"/>
    <col min="12" max="12" width="11.140625" style="3" bestFit="1" customWidth="1"/>
    <col min="13" max="13" width="9.42578125" style="3" bestFit="1" customWidth="1"/>
    <col min="14" max="14" width="45" style="5" bestFit="1" customWidth="1"/>
    <col min="15" max="15" width="7" style="1" bestFit="1" customWidth="1"/>
    <col min="16" max="16" width="9.140625" style="5" bestFit="1" customWidth="1"/>
    <col min="17" max="17" width="5.140625" style="5" bestFit="1" customWidth="1"/>
    <col min="18" max="18" width="25.28515625" style="5" bestFit="1" customWidth="1"/>
    <col min="19" max="16384" width="9.140625" style="5"/>
  </cols>
  <sheetData>
    <row r="1" spans="1:18" ht="21">
      <c r="A1" s="278" t="s">
        <v>21</v>
      </c>
      <c r="B1" s="278"/>
      <c r="C1" s="278"/>
      <c r="D1" s="278"/>
      <c r="E1" s="278"/>
      <c r="F1" s="278"/>
      <c r="G1" s="278"/>
      <c r="H1" s="278"/>
      <c r="I1" s="278"/>
      <c r="J1" s="278"/>
      <c r="K1" s="2"/>
    </row>
    <row r="2" spans="1:18" ht="18.75">
      <c r="A2" s="279" t="s">
        <v>323</v>
      </c>
      <c r="B2" s="279"/>
      <c r="C2" s="279"/>
      <c r="D2" s="279"/>
      <c r="E2" s="279"/>
      <c r="F2" s="279"/>
      <c r="G2" s="279"/>
      <c r="H2" s="279"/>
      <c r="I2" s="279"/>
      <c r="J2" s="279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6" t="s">
        <v>18</v>
      </c>
      <c r="N3" s="49" t="s">
        <v>1</v>
      </c>
      <c r="O3" s="49" t="s">
        <v>2</v>
      </c>
      <c r="P3" s="4" t="s">
        <v>3</v>
      </c>
      <c r="Q3" s="4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25"/>
      <c r="E4" s="13" t="s">
        <v>104</v>
      </c>
      <c r="F4" s="125"/>
      <c r="G4" s="14"/>
      <c r="H4" s="13" t="s">
        <v>102</v>
      </c>
      <c r="I4" s="125"/>
      <c r="J4" s="13" t="s">
        <v>251</v>
      </c>
      <c r="K4" s="280"/>
      <c r="L4" s="116" t="s">
        <v>87</v>
      </c>
      <c r="M4" s="96" t="s">
        <v>43</v>
      </c>
      <c r="N4" s="117" t="s">
        <v>39</v>
      </c>
      <c r="O4" s="116">
        <v>4</v>
      </c>
      <c r="P4" s="48">
        <f>Q4/1.25</f>
        <v>48</v>
      </c>
      <c r="Q4" s="95">
        <f>O4*15</f>
        <v>60</v>
      </c>
      <c r="R4" s="118" t="s">
        <v>95</v>
      </c>
    </row>
    <row r="5" spans="1:18" ht="15" customHeight="1">
      <c r="A5" s="113">
        <v>46231</v>
      </c>
      <c r="B5" s="13" t="s">
        <v>68</v>
      </c>
      <c r="C5" s="13">
        <f>C4+1</f>
        <v>2</v>
      </c>
      <c r="D5" s="22" t="s">
        <v>103</v>
      </c>
      <c r="E5" s="125"/>
      <c r="F5" s="13" t="s">
        <v>64</v>
      </c>
      <c r="G5" s="14"/>
      <c r="H5" s="125"/>
      <c r="I5" s="13" t="s">
        <v>43</v>
      </c>
      <c r="J5" s="125"/>
      <c r="K5" s="280"/>
      <c r="L5" s="116" t="s">
        <v>88</v>
      </c>
      <c r="M5" s="96" t="s">
        <v>102</v>
      </c>
      <c r="N5" s="117" t="s">
        <v>38</v>
      </c>
      <c r="O5" s="116">
        <v>3</v>
      </c>
      <c r="P5" s="48">
        <f t="shared" ref="P5:P7" si="0">Q5/1.25</f>
        <v>36</v>
      </c>
      <c r="Q5" s="95">
        <f t="shared" ref="Q5:Q7" si="1">O5*15</f>
        <v>45</v>
      </c>
      <c r="R5" s="118" t="s">
        <v>96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25"/>
      <c r="E6" s="13" t="s">
        <v>44</v>
      </c>
      <c r="F6" s="125"/>
      <c r="G6" s="14"/>
      <c r="H6" s="13" t="s">
        <v>43</v>
      </c>
      <c r="I6" s="125"/>
      <c r="J6" s="13" t="s">
        <v>104</v>
      </c>
      <c r="L6" s="116" t="s">
        <v>89</v>
      </c>
      <c r="M6" s="96" t="s">
        <v>64</v>
      </c>
      <c r="N6" s="117" t="s">
        <v>82</v>
      </c>
      <c r="O6" s="116">
        <v>2</v>
      </c>
      <c r="P6" s="48">
        <f t="shared" si="0"/>
        <v>24</v>
      </c>
      <c r="Q6" s="95">
        <f t="shared" si="1"/>
        <v>30</v>
      </c>
      <c r="R6" s="118" t="s">
        <v>98</v>
      </c>
    </row>
    <row r="7" spans="1:18">
      <c r="A7" s="113">
        <v>46233</v>
      </c>
      <c r="B7" s="13" t="s">
        <v>70</v>
      </c>
      <c r="C7" s="13">
        <f t="shared" si="2"/>
        <v>4</v>
      </c>
      <c r="D7" s="13" t="s">
        <v>43</v>
      </c>
      <c r="E7" s="125"/>
      <c r="F7" s="13" t="s">
        <v>64</v>
      </c>
      <c r="G7" s="14"/>
      <c r="H7" s="125"/>
      <c r="I7" s="13" t="s">
        <v>102</v>
      </c>
      <c r="J7" s="125"/>
      <c r="L7" s="116" t="s">
        <v>90</v>
      </c>
      <c r="M7" s="96" t="s">
        <v>103</v>
      </c>
      <c r="N7" s="117" t="s">
        <v>83</v>
      </c>
      <c r="O7" s="116">
        <v>3</v>
      </c>
      <c r="P7" s="48">
        <f t="shared" si="0"/>
        <v>36</v>
      </c>
      <c r="Q7" s="95">
        <f t="shared" si="1"/>
        <v>45</v>
      </c>
      <c r="R7" s="118" t="s">
        <v>97</v>
      </c>
    </row>
    <row r="8" spans="1:18">
      <c r="A8" s="113">
        <v>46234</v>
      </c>
      <c r="B8" s="13" t="s">
        <v>71</v>
      </c>
      <c r="C8" s="13">
        <f t="shared" si="2"/>
        <v>5</v>
      </c>
      <c r="D8" s="125"/>
      <c r="E8" s="22" t="s">
        <v>102</v>
      </c>
      <c r="F8" s="125"/>
      <c r="G8" s="14"/>
      <c r="H8" s="13" t="s">
        <v>103</v>
      </c>
      <c r="I8" s="125"/>
      <c r="J8" s="13" t="s">
        <v>44</v>
      </c>
      <c r="L8" s="116" t="s">
        <v>91</v>
      </c>
      <c r="M8" s="96" t="s">
        <v>214</v>
      </c>
      <c r="N8" s="117" t="s">
        <v>275</v>
      </c>
      <c r="O8" s="116">
        <v>2</v>
      </c>
      <c r="P8" s="7">
        <f>Q8/1.25</f>
        <v>24</v>
      </c>
      <c r="Q8" s="7">
        <f>O8*15</f>
        <v>30</v>
      </c>
      <c r="R8" s="118" t="s">
        <v>279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/>
      <c r="G9" s="14"/>
      <c r="H9" s="13"/>
      <c r="I9" s="13"/>
      <c r="J9" s="109"/>
      <c r="L9" s="116" t="s">
        <v>92</v>
      </c>
      <c r="M9" s="97" t="s">
        <v>104</v>
      </c>
      <c r="N9" s="117" t="s">
        <v>84</v>
      </c>
      <c r="O9" s="116">
        <v>3</v>
      </c>
      <c r="P9" s="7">
        <f t="shared" ref="P9:P11" si="3">Q9/1.25</f>
        <v>36</v>
      </c>
      <c r="Q9" s="7">
        <f>O9*15</f>
        <v>45</v>
      </c>
      <c r="R9" s="118" t="s">
        <v>99</v>
      </c>
    </row>
    <row r="10" spans="1:18" ht="15.75" thickBot="1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16" t="s">
        <v>93</v>
      </c>
      <c r="M10" s="98" t="s">
        <v>45</v>
      </c>
      <c r="N10" s="117" t="s">
        <v>85</v>
      </c>
      <c r="O10" s="116">
        <v>2</v>
      </c>
      <c r="P10" s="7">
        <f t="shared" si="3"/>
        <v>24</v>
      </c>
      <c r="Q10" s="7">
        <f t="shared" ref="Q10:Q11" si="4">O10*15</f>
        <v>30</v>
      </c>
      <c r="R10" s="118" t="s">
        <v>100</v>
      </c>
    </row>
    <row r="11" spans="1:18">
      <c r="A11" s="113">
        <v>46237</v>
      </c>
      <c r="B11" s="13" t="s">
        <v>67</v>
      </c>
      <c r="C11" s="171">
        <f>C9+1</f>
        <v>7</v>
      </c>
      <c r="D11" s="200"/>
      <c r="E11" s="185" t="s">
        <v>104</v>
      </c>
      <c r="F11" s="187"/>
      <c r="G11" s="186"/>
      <c r="H11" s="185" t="s">
        <v>102</v>
      </c>
      <c r="I11" s="187"/>
      <c r="J11" s="201" t="s">
        <v>251</v>
      </c>
      <c r="L11" s="116" t="s">
        <v>94</v>
      </c>
      <c r="M11" s="51" t="s">
        <v>44</v>
      </c>
      <c r="N11" s="117" t="s">
        <v>86</v>
      </c>
      <c r="O11" s="116">
        <v>3</v>
      </c>
      <c r="P11" s="7">
        <f t="shared" si="3"/>
        <v>36</v>
      </c>
      <c r="Q11" s="7">
        <f t="shared" si="4"/>
        <v>45</v>
      </c>
      <c r="R11" s="127" t="s">
        <v>109</v>
      </c>
    </row>
    <row r="12" spans="1:18">
      <c r="A12" s="113">
        <v>46238</v>
      </c>
      <c r="B12" s="13" t="s">
        <v>68</v>
      </c>
      <c r="C12" s="171">
        <f>C11+1</f>
        <v>8</v>
      </c>
      <c r="D12" s="202" t="s">
        <v>103</v>
      </c>
      <c r="E12" s="125"/>
      <c r="F12" s="13" t="s">
        <v>64</v>
      </c>
      <c r="G12" s="14"/>
      <c r="H12" s="125"/>
      <c r="I12" s="13" t="s">
        <v>43</v>
      </c>
      <c r="J12" s="203"/>
      <c r="L12" s="111"/>
      <c r="M12" s="107"/>
      <c r="N12" s="112"/>
      <c r="O12" s="119">
        <f>SUM(O4:O11)</f>
        <v>22</v>
      </c>
      <c r="P12" s="119">
        <f>SUM(P4:P11)</f>
        <v>264</v>
      </c>
      <c r="Q12" s="119">
        <f>SUM(Q4:Q11)</f>
        <v>330</v>
      </c>
      <c r="R12" s="54"/>
    </row>
    <row r="13" spans="1:18">
      <c r="A13" s="113">
        <v>46239</v>
      </c>
      <c r="B13" s="13" t="s">
        <v>69</v>
      </c>
      <c r="C13" s="171">
        <f t="shared" ref="C13:C16" si="5">C12+1</f>
        <v>9</v>
      </c>
      <c r="D13" s="204"/>
      <c r="E13" s="13" t="s">
        <v>44</v>
      </c>
      <c r="F13" s="125"/>
      <c r="G13" s="14"/>
      <c r="H13" s="13" t="s">
        <v>43</v>
      </c>
      <c r="I13" s="125"/>
      <c r="J13" s="190" t="s">
        <v>104</v>
      </c>
    </row>
    <row r="14" spans="1:18">
      <c r="A14" s="113">
        <v>46240</v>
      </c>
      <c r="B14" s="13" t="s">
        <v>70</v>
      </c>
      <c r="C14" s="171">
        <f t="shared" si="5"/>
        <v>10</v>
      </c>
      <c r="D14" s="205" t="s">
        <v>43</v>
      </c>
      <c r="E14" s="125"/>
      <c r="F14" s="13" t="s">
        <v>64</v>
      </c>
      <c r="G14" s="14"/>
      <c r="H14" s="125"/>
      <c r="I14" s="13" t="s">
        <v>102</v>
      </c>
      <c r="J14" s="203"/>
    </row>
    <row r="15" spans="1:18" ht="15.75" thickBot="1">
      <c r="A15" s="113">
        <v>46241</v>
      </c>
      <c r="B15" s="13" t="s">
        <v>71</v>
      </c>
      <c r="C15" s="171">
        <f t="shared" si="5"/>
        <v>11</v>
      </c>
      <c r="D15" s="206"/>
      <c r="E15" s="196" t="s">
        <v>103</v>
      </c>
      <c r="F15" s="198"/>
      <c r="G15" s="197"/>
      <c r="H15" s="196" t="s">
        <v>102</v>
      </c>
      <c r="I15" s="198"/>
      <c r="J15" s="207" t="s">
        <v>44</v>
      </c>
    </row>
    <row r="16" spans="1:18">
      <c r="A16" s="113">
        <v>46242</v>
      </c>
      <c r="B16" s="13" t="s">
        <v>72</v>
      </c>
      <c r="C16" s="13">
        <f t="shared" si="5"/>
        <v>12</v>
      </c>
      <c r="D16" s="180"/>
      <c r="E16" s="180"/>
      <c r="F16" s="181"/>
      <c r="G16" s="182"/>
      <c r="H16" s="181"/>
      <c r="I16" s="181"/>
      <c r="J16" s="183"/>
      <c r="L16" s="26"/>
      <c r="N16" s="28"/>
      <c r="O16" s="5"/>
    </row>
    <row r="17" spans="1:15" hidden="1">
      <c r="A17" s="113">
        <v>46243</v>
      </c>
      <c r="B17" s="13" t="s">
        <v>73</v>
      </c>
      <c r="C17" s="13"/>
      <c r="D17" s="13"/>
      <c r="E17" s="12"/>
      <c r="F17" s="13"/>
      <c r="G17" s="15"/>
      <c r="H17" s="109"/>
      <c r="I17" s="10"/>
      <c r="J17" s="13"/>
      <c r="N17" s="28"/>
      <c r="O17" s="5"/>
    </row>
    <row r="18" spans="1:15" hidden="1">
      <c r="A18" s="113">
        <v>46244</v>
      </c>
      <c r="B18" s="13" t="s">
        <v>67</v>
      </c>
      <c r="C18" s="13">
        <f>C16+1</f>
        <v>13</v>
      </c>
      <c r="D18" s="125"/>
      <c r="E18" s="13" t="s">
        <v>104</v>
      </c>
      <c r="F18" s="125"/>
      <c r="G18" s="14"/>
      <c r="H18" s="13" t="s">
        <v>102</v>
      </c>
      <c r="I18" s="125" t="s">
        <v>45</v>
      </c>
      <c r="J18" s="13" t="s">
        <v>251</v>
      </c>
      <c r="N18" s="28"/>
      <c r="O18" s="5"/>
    </row>
    <row r="19" spans="1:15" hidden="1">
      <c r="A19" s="113">
        <v>46245</v>
      </c>
      <c r="B19" s="13" t="s">
        <v>68</v>
      </c>
      <c r="C19" s="13">
        <f>C18+1</f>
        <v>14</v>
      </c>
      <c r="D19" s="22" t="s">
        <v>103</v>
      </c>
      <c r="E19" s="125"/>
      <c r="F19" s="13" t="s">
        <v>64</v>
      </c>
      <c r="G19" s="14"/>
      <c r="H19" s="125"/>
      <c r="I19" s="13" t="s">
        <v>43</v>
      </c>
      <c r="J19" s="125"/>
      <c r="N19" s="28"/>
      <c r="O19" s="5"/>
    </row>
    <row r="20" spans="1:15" hidden="1">
      <c r="A20" s="113">
        <v>46246</v>
      </c>
      <c r="B20" s="13" t="s">
        <v>69</v>
      </c>
      <c r="C20" s="13">
        <f t="shared" ref="C20:C22" si="6">C19+1</f>
        <v>15</v>
      </c>
      <c r="D20" s="125"/>
      <c r="E20" s="13" t="s">
        <v>44</v>
      </c>
      <c r="F20" s="125" t="s">
        <v>45</v>
      </c>
      <c r="G20" s="14"/>
      <c r="H20" s="13" t="s">
        <v>43</v>
      </c>
      <c r="I20" s="125"/>
      <c r="J20" s="13" t="s">
        <v>104</v>
      </c>
      <c r="N20" s="28"/>
      <c r="O20" s="5"/>
    </row>
    <row r="21" spans="1:15" hidden="1">
      <c r="A21" s="113">
        <v>46247</v>
      </c>
      <c r="B21" s="13" t="s">
        <v>70</v>
      </c>
      <c r="C21" s="13">
        <f t="shared" si="6"/>
        <v>16</v>
      </c>
      <c r="D21" s="13" t="s">
        <v>43</v>
      </c>
      <c r="E21" s="125"/>
      <c r="F21" s="13" t="s">
        <v>64</v>
      </c>
      <c r="G21" s="14"/>
      <c r="H21" s="125"/>
      <c r="I21" s="13" t="s">
        <v>102</v>
      </c>
      <c r="J21" s="125"/>
      <c r="N21" s="28"/>
      <c r="O21" s="5"/>
    </row>
    <row r="22" spans="1:15" hidden="1">
      <c r="A22" s="113">
        <v>46248</v>
      </c>
      <c r="B22" s="13" t="s">
        <v>71</v>
      </c>
      <c r="C22" s="13">
        <f t="shared" si="6"/>
        <v>17</v>
      </c>
      <c r="D22" s="125"/>
      <c r="E22" s="68" t="s">
        <v>103</v>
      </c>
      <c r="F22" s="13" t="s">
        <v>44</v>
      </c>
      <c r="G22" s="14"/>
      <c r="H22" s="13" t="s">
        <v>102</v>
      </c>
      <c r="I22" s="125"/>
      <c r="J22" s="13"/>
      <c r="K22" s="5" t="s">
        <v>290</v>
      </c>
      <c r="N22" s="28"/>
      <c r="O22" s="5"/>
    </row>
    <row r="23" spans="1:15" hidden="1">
      <c r="A23" s="113">
        <v>46249</v>
      </c>
      <c r="B23" s="13" t="s">
        <v>72</v>
      </c>
      <c r="C23" s="114" t="s">
        <v>23</v>
      </c>
      <c r="D23" s="10"/>
      <c r="E23" s="10"/>
      <c r="F23" s="13"/>
      <c r="G23" s="14"/>
      <c r="H23" s="13"/>
      <c r="I23" s="13"/>
      <c r="J23" s="109"/>
      <c r="N23" s="28"/>
      <c r="O23" s="5"/>
    </row>
    <row r="24" spans="1:15" hidden="1">
      <c r="A24" s="113">
        <v>46250</v>
      </c>
      <c r="B24" s="13" t="s">
        <v>73</v>
      </c>
      <c r="C24" s="114"/>
      <c r="D24" s="175"/>
      <c r="E24" s="176"/>
      <c r="F24" s="175"/>
      <c r="G24" s="177"/>
      <c r="H24" s="178"/>
      <c r="I24" s="179"/>
      <c r="J24" s="175"/>
      <c r="N24" s="1"/>
      <c r="O24" s="5"/>
    </row>
    <row r="25" spans="1:15" hidden="1">
      <c r="A25" s="113">
        <v>46251</v>
      </c>
      <c r="B25" s="13" t="s">
        <v>67</v>
      </c>
      <c r="C25" s="227">
        <f>C22+1</f>
        <v>18</v>
      </c>
      <c r="D25" s="125"/>
      <c r="E25" s="13" t="s">
        <v>104</v>
      </c>
      <c r="F25" s="125"/>
      <c r="G25" s="14"/>
      <c r="H25" s="13" t="s">
        <v>102</v>
      </c>
      <c r="I25" s="125" t="s">
        <v>45</v>
      </c>
      <c r="J25" s="13" t="s">
        <v>103</v>
      </c>
      <c r="N25" s="28"/>
      <c r="O25" s="5"/>
    </row>
    <row r="26" spans="1:15" hidden="1">
      <c r="A26" s="113">
        <v>46252</v>
      </c>
      <c r="B26" s="13" t="s">
        <v>68</v>
      </c>
      <c r="C26" s="227">
        <f>C25+1</f>
        <v>19</v>
      </c>
      <c r="D26" s="13" t="s">
        <v>103</v>
      </c>
      <c r="E26" s="125" t="s">
        <v>44</v>
      </c>
      <c r="F26" s="13" t="s">
        <v>64</v>
      </c>
      <c r="G26" s="14"/>
      <c r="H26" s="125" t="s">
        <v>104</v>
      </c>
      <c r="I26" s="13" t="s">
        <v>43</v>
      </c>
      <c r="J26" s="125"/>
      <c r="K26" s="5" t="s">
        <v>326</v>
      </c>
      <c r="N26" s="1"/>
      <c r="O26" s="5"/>
    </row>
    <row r="27" spans="1:15" hidden="1">
      <c r="A27" s="113">
        <v>46253</v>
      </c>
      <c r="B27" s="13" t="s">
        <v>69</v>
      </c>
      <c r="C27" s="227">
        <f t="shared" ref="C27:C30" si="7">C26+1</f>
        <v>20</v>
      </c>
      <c r="D27" s="125"/>
      <c r="E27" s="13" t="s">
        <v>43</v>
      </c>
      <c r="F27" s="125" t="s">
        <v>45</v>
      </c>
      <c r="G27" s="14"/>
      <c r="H27" s="13" t="s">
        <v>44</v>
      </c>
      <c r="I27" s="13" t="s">
        <v>104</v>
      </c>
      <c r="J27" s="13"/>
      <c r="K27" s="5" t="s">
        <v>317</v>
      </c>
      <c r="N27" s="28"/>
      <c r="O27" s="5"/>
    </row>
    <row r="28" spans="1:15" hidden="1">
      <c r="A28" s="113">
        <v>46254</v>
      </c>
      <c r="B28" s="13" t="s">
        <v>70</v>
      </c>
      <c r="C28" s="227">
        <f t="shared" si="7"/>
        <v>21</v>
      </c>
      <c r="D28" s="13" t="s">
        <v>43</v>
      </c>
      <c r="E28" s="125"/>
      <c r="F28" s="13" t="s">
        <v>64</v>
      </c>
      <c r="G28" s="14"/>
      <c r="H28" s="125"/>
      <c r="I28" s="13" t="s">
        <v>102</v>
      </c>
      <c r="J28" s="125"/>
      <c r="N28" s="1"/>
      <c r="O28" s="5"/>
    </row>
    <row r="29" spans="1:15" hidden="1">
      <c r="A29" s="113">
        <v>46255</v>
      </c>
      <c r="B29" s="13" t="s">
        <v>71</v>
      </c>
      <c r="C29" s="227">
        <f t="shared" si="7"/>
        <v>22</v>
      </c>
      <c r="D29" s="125"/>
      <c r="E29" s="13" t="s">
        <v>103</v>
      </c>
      <c r="F29" s="125" t="s">
        <v>44</v>
      </c>
      <c r="G29" s="14"/>
      <c r="H29" s="13" t="s">
        <v>102</v>
      </c>
      <c r="I29" s="125" t="s">
        <v>43</v>
      </c>
      <c r="J29" s="13"/>
      <c r="K29" s="5" t="s">
        <v>312</v>
      </c>
      <c r="N29" s="28"/>
      <c r="O29" s="5"/>
    </row>
    <row r="30" spans="1:15" hidden="1">
      <c r="A30" s="113">
        <v>46256</v>
      </c>
      <c r="B30" s="13" t="s">
        <v>72</v>
      </c>
      <c r="C30" s="227">
        <f t="shared" si="7"/>
        <v>23</v>
      </c>
      <c r="D30" s="10"/>
      <c r="E30" s="10"/>
      <c r="F30" s="13"/>
      <c r="G30" s="14"/>
      <c r="H30" s="13"/>
      <c r="I30" s="13"/>
      <c r="J30" s="109"/>
      <c r="N30" s="1"/>
      <c r="O30" s="5"/>
    </row>
    <row r="31" spans="1:15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0"/>
      <c r="J31" s="13"/>
      <c r="N31" s="28"/>
      <c r="O31" s="5"/>
    </row>
    <row r="32" spans="1:15" hidden="1">
      <c r="A32" s="113">
        <v>46258</v>
      </c>
      <c r="B32" s="13" t="s">
        <v>67</v>
      </c>
      <c r="C32" s="227">
        <f>C29+1</f>
        <v>23</v>
      </c>
      <c r="D32" s="125"/>
      <c r="E32" s="13" t="s">
        <v>104</v>
      </c>
      <c r="F32" s="125"/>
      <c r="G32" s="14"/>
      <c r="H32" s="13" t="s">
        <v>102</v>
      </c>
      <c r="I32" s="125" t="s">
        <v>45</v>
      </c>
      <c r="J32" s="13" t="s">
        <v>103</v>
      </c>
      <c r="N32" s="1"/>
      <c r="O32" s="5"/>
    </row>
    <row r="33" spans="1:18" hidden="1">
      <c r="A33" s="113">
        <v>46259</v>
      </c>
      <c r="B33" s="13" t="s">
        <v>68</v>
      </c>
      <c r="C33" s="227">
        <f>C32+1</f>
        <v>24</v>
      </c>
      <c r="D33" s="13" t="s">
        <v>103</v>
      </c>
      <c r="E33" s="125" t="s">
        <v>44</v>
      </c>
      <c r="F33" s="13" t="s">
        <v>64</v>
      </c>
      <c r="G33" s="14"/>
      <c r="H33" s="125" t="s">
        <v>104</v>
      </c>
      <c r="I33" s="13" t="s">
        <v>43</v>
      </c>
      <c r="J33" s="125"/>
      <c r="K33" s="5" t="s">
        <v>326</v>
      </c>
      <c r="N33" s="28"/>
      <c r="O33" s="5"/>
    </row>
    <row r="34" spans="1:18" hidden="1">
      <c r="A34" s="113">
        <v>46260</v>
      </c>
      <c r="B34" s="13" t="s">
        <v>69</v>
      </c>
      <c r="C34" s="227">
        <f t="shared" ref="C34:C35" si="8">C33+1</f>
        <v>25</v>
      </c>
      <c r="D34" s="11" t="s">
        <v>43</v>
      </c>
      <c r="E34" s="13"/>
      <c r="F34" s="125" t="s">
        <v>45</v>
      </c>
      <c r="G34" s="14"/>
      <c r="H34" s="13" t="s">
        <v>44</v>
      </c>
      <c r="I34" s="13" t="s">
        <v>104</v>
      </c>
      <c r="J34" s="13"/>
      <c r="K34" s="5" t="s">
        <v>325</v>
      </c>
      <c r="N34" s="1"/>
      <c r="O34" s="5"/>
      <c r="R34" s="1"/>
    </row>
    <row r="35" spans="1:18" hidden="1">
      <c r="A35" s="113">
        <v>46261</v>
      </c>
      <c r="B35" s="13" t="s">
        <v>70</v>
      </c>
      <c r="C35" s="227">
        <f t="shared" si="8"/>
        <v>26</v>
      </c>
      <c r="D35" s="13" t="s">
        <v>43</v>
      </c>
      <c r="E35" s="125"/>
      <c r="F35" s="13" t="s">
        <v>64</v>
      </c>
      <c r="G35" s="14"/>
      <c r="H35" s="125"/>
      <c r="I35" s="13" t="s">
        <v>102</v>
      </c>
      <c r="J35" s="125"/>
      <c r="N35" s="28"/>
      <c r="O35" s="5"/>
      <c r="Q35" s="1"/>
    </row>
    <row r="36" spans="1:18" hidden="1">
      <c r="A36" s="113">
        <v>46262</v>
      </c>
      <c r="B36" s="13" t="s">
        <v>71</v>
      </c>
      <c r="C36" s="227" t="s">
        <v>22</v>
      </c>
      <c r="D36" s="125"/>
      <c r="E36" s="13"/>
      <c r="F36" s="125"/>
      <c r="G36" s="14"/>
      <c r="H36" s="13"/>
      <c r="I36" s="125"/>
      <c r="J36" s="13"/>
      <c r="N36" s="1"/>
      <c r="O36" s="5"/>
      <c r="Q36" s="1"/>
    </row>
    <row r="37" spans="1:18" hidden="1">
      <c r="A37" s="113">
        <v>46263</v>
      </c>
      <c r="B37" s="13" t="s">
        <v>72</v>
      </c>
      <c r="C37" s="228">
        <f>C35+1</f>
        <v>27</v>
      </c>
      <c r="D37" s="10"/>
      <c r="E37" s="10"/>
      <c r="F37" s="13"/>
      <c r="G37" s="14"/>
      <c r="H37" s="13"/>
      <c r="I37" s="13"/>
      <c r="J37" s="109"/>
      <c r="N37" s="28"/>
      <c r="O37" s="5"/>
      <c r="Q37" s="1"/>
    </row>
    <row r="38" spans="1:18">
      <c r="A38" s="113">
        <v>46264</v>
      </c>
      <c r="B38" s="13" t="s">
        <v>73</v>
      </c>
      <c r="C38" s="229"/>
      <c r="D38" s="13"/>
      <c r="E38" s="12"/>
      <c r="F38" s="13"/>
      <c r="G38" s="15"/>
      <c r="H38" s="109"/>
      <c r="I38" s="10"/>
      <c r="J38" s="13"/>
      <c r="N38" s="1"/>
      <c r="O38" s="5"/>
      <c r="Q38" s="1"/>
    </row>
    <row r="39" spans="1:18">
      <c r="A39" s="113">
        <v>46265</v>
      </c>
      <c r="B39" s="13" t="s">
        <v>67</v>
      </c>
      <c r="C39" s="227">
        <f>C37+1</f>
        <v>28</v>
      </c>
      <c r="D39" s="125"/>
      <c r="E39" s="13" t="s">
        <v>104</v>
      </c>
      <c r="F39" s="125"/>
      <c r="G39" s="14"/>
      <c r="H39" s="13" t="s">
        <v>102</v>
      </c>
      <c r="I39" s="125" t="s">
        <v>45</v>
      </c>
      <c r="J39" s="13" t="s">
        <v>103</v>
      </c>
      <c r="N39" s="28"/>
      <c r="O39" s="5"/>
      <c r="Q39" s="1"/>
    </row>
    <row r="40" spans="1:18">
      <c r="A40" s="113">
        <v>46266</v>
      </c>
      <c r="B40" s="13" t="s">
        <v>68</v>
      </c>
      <c r="C40" s="227">
        <f>C39+1</f>
        <v>29</v>
      </c>
      <c r="D40" s="13" t="s">
        <v>103</v>
      </c>
      <c r="E40" s="125" t="s">
        <v>44</v>
      </c>
      <c r="F40" s="13" t="s">
        <v>64</v>
      </c>
      <c r="G40" s="14"/>
      <c r="H40" s="125" t="s">
        <v>104</v>
      </c>
      <c r="I40" s="13" t="s">
        <v>43</v>
      </c>
      <c r="J40" s="125"/>
      <c r="K40" s="5" t="s">
        <v>326</v>
      </c>
      <c r="N40" s="1"/>
      <c r="O40" s="5"/>
      <c r="Q40" s="1"/>
    </row>
    <row r="41" spans="1:18">
      <c r="A41" s="113">
        <v>46267</v>
      </c>
      <c r="B41" s="13" t="s">
        <v>69</v>
      </c>
      <c r="C41" s="227">
        <f t="shared" ref="C41:C42" si="9">C40+1</f>
        <v>30</v>
      </c>
      <c r="D41" s="11" t="s">
        <v>43</v>
      </c>
      <c r="F41" s="125" t="s">
        <v>45</v>
      </c>
      <c r="G41" s="14"/>
      <c r="H41" s="13" t="s">
        <v>44</v>
      </c>
      <c r="I41" s="13" t="s">
        <v>104</v>
      </c>
      <c r="J41" s="13"/>
      <c r="K41" s="5" t="s">
        <v>317</v>
      </c>
      <c r="N41" s="1"/>
      <c r="O41" s="5"/>
      <c r="Q41" s="1"/>
    </row>
    <row r="42" spans="1:18">
      <c r="A42" s="113">
        <v>46268</v>
      </c>
      <c r="B42" s="13" t="s">
        <v>70</v>
      </c>
      <c r="C42" s="227">
        <f t="shared" si="9"/>
        <v>31</v>
      </c>
      <c r="D42" s="13" t="s">
        <v>43</v>
      </c>
      <c r="E42" s="125"/>
      <c r="F42" s="13" t="s">
        <v>64</v>
      </c>
      <c r="G42" s="14"/>
      <c r="H42" s="125"/>
      <c r="I42" s="13" t="s">
        <v>102</v>
      </c>
      <c r="J42" s="125"/>
      <c r="N42" s="1"/>
      <c r="O42" s="5"/>
      <c r="P42" s="1"/>
      <c r="Q42" s="1"/>
      <c r="R42" s="28"/>
    </row>
    <row r="43" spans="1:18">
      <c r="A43" s="113">
        <v>46269</v>
      </c>
      <c r="B43" s="13" t="s">
        <v>71</v>
      </c>
      <c r="C43" s="227" t="s">
        <v>81</v>
      </c>
      <c r="D43" s="125"/>
      <c r="E43" s="13"/>
      <c r="F43" s="125"/>
      <c r="G43" s="14"/>
      <c r="H43" s="13"/>
      <c r="I43" s="125"/>
      <c r="J43" s="13"/>
      <c r="N43" s="1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228">
        <f>C42+1</f>
        <v>32</v>
      </c>
      <c r="D44" s="10"/>
      <c r="E44" s="10"/>
      <c r="F44" s="13"/>
      <c r="G44" s="14"/>
      <c r="H44" s="13"/>
      <c r="I44" s="13"/>
      <c r="J44" s="109"/>
      <c r="N44" s="28"/>
      <c r="O44" s="5"/>
      <c r="P44" s="1"/>
      <c r="Q44" s="1"/>
      <c r="R44" s="3"/>
    </row>
    <row r="45" spans="1:18">
      <c r="A45" s="113">
        <v>46271</v>
      </c>
      <c r="B45" s="13" t="s">
        <v>73</v>
      </c>
      <c r="C45" s="227"/>
      <c r="D45" s="13"/>
      <c r="E45" s="12"/>
      <c r="F45" s="13"/>
      <c r="G45" s="15"/>
      <c r="H45" s="109"/>
      <c r="I45" s="10"/>
      <c r="J45" s="13"/>
      <c r="N45" s="1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227">
        <f>C44+1</f>
        <v>33</v>
      </c>
      <c r="D46" s="125"/>
      <c r="E46" s="13" t="s">
        <v>104</v>
      </c>
      <c r="F46" s="125"/>
      <c r="G46" s="14"/>
      <c r="H46" s="13" t="s">
        <v>102</v>
      </c>
      <c r="I46" s="125" t="s">
        <v>45</v>
      </c>
      <c r="J46" s="13" t="s">
        <v>103</v>
      </c>
      <c r="N46" s="1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227">
        <f>C46+1</f>
        <v>34</v>
      </c>
      <c r="D47" s="13" t="s">
        <v>103</v>
      </c>
      <c r="E47" s="125" t="s">
        <v>44</v>
      </c>
      <c r="F47" s="13" t="s">
        <v>64</v>
      </c>
      <c r="G47" s="14"/>
      <c r="H47" s="125" t="s">
        <v>104</v>
      </c>
      <c r="I47" s="13" t="s">
        <v>43</v>
      </c>
      <c r="J47" s="125"/>
      <c r="K47" s="5" t="s">
        <v>326</v>
      </c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227">
        <f t="shared" ref="C48:C51" si="10">C47+1</f>
        <v>35</v>
      </c>
      <c r="D48" s="11" t="s">
        <v>43</v>
      </c>
      <c r="F48" s="125" t="s">
        <v>44</v>
      </c>
      <c r="G48" s="14"/>
      <c r="H48" s="13" t="s">
        <v>64</v>
      </c>
      <c r="I48" s="13" t="s">
        <v>64</v>
      </c>
      <c r="J48" s="13"/>
      <c r="K48" s="5" t="s">
        <v>333</v>
      </c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227">
        <f t="shared" si="10"/>
        <v>36</v>
      </c>
      <c r="D49" s="13" t="s">
        <v>43</v>
      </c>
      <c r="E49" s="125"/>
      <c r="F49" s="13" t="s">
        <v>64</v>
      </c>
      <c r="G49" s="14"/>
      <c r="H49" s="125"/>
      <c r="I49" s="13" t="s">
        <v>102</v>
      </c>
      <c r="J49" s="125"/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227">
        <f t="shared" si="10"/>
        <v>37</v>
      </c>
      <c r="D50" s="125"/>
      <c r="E50" s="13" t="s">
        <v>103</v>
      </c>
      <c r="F50" s="125" t="s">
        <v>44</v>
      </c>
      <c r="G50" s="14"/>
      <c r="H50" s="13" t="s">
        <v>102</v>
      </c>
      <c r="I50" s="125" t="s">
        <v>43</v>
      </c>
      <c r="J50" s="13"/>
      <c r="K50" s="5" t="s">
        <v>312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10"/>
        <v>38</v>
      </c>
      <c r="D51" s="180"/>
      <c r="E51" s="180"/>
      <c r="F51" s="181"/>
      <c r="G51" s="182"/>
      <c r="H51" s="181"/>
      <c r="I51" s="181"/>
      <c r="J51" s="183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N52" s="28"/>
      <c r="O52" s="5"/>
      <c r="P52" s="1"/>
      <c r="Q52" s="1"/>
      <c r="R52" s="1"/>
    </row>
  </sheetData>
  <mergeCells count="3">
    <mergeCell ref="A1:J1"/>
    <mergeCell ref="A2:J2"/>
    <mergeCell ref="K4:K5"/>
  </mergeCells>
  <phoneticPr fontId="1" type="noConversion"/>
  <conditionalFormatting sqref="B1:B2 B67:B1048576">
    <cfRule type="cellIs" dxfId="33" priority="3" operator="equal">
      <formula>"Sat"</formula>
    </cfRule>
  </conditionalFormatting>
  <conditionalFormatting sqref="B4:B52">
    <cfRule type="containsText" dxfId="32" priority="1" operator="containsText" text="Sun">
      <formula>NOT(ISERROR(SEARCH("Sun",B4)))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05B9-2B4B-4B03-83AC-D9F33516E1F7}">
  <dimension ref="A1:R52"/>
  <sheetViews>
    <sheetView zoomScale="90" zoomScaleNormal="9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A53" sqref="A53:XFD165"/>
    </sheetView>
  </sheetViews>
  <sheetFormatPr defaultRowHeight="15"/>
  <cols>
    <col min="1" max="1" width="10.140625" style="87" bestFit="1" customWidth="1"/>
    <col min="2" max="2" width="10.85546875" style="88" customWidth="1"/>
    <col min="3" max="3" width="14.5703125" style="108" bestFit="1" customWidth="1"/>
    <col min="4" max="4" width="11.7109375" style="22" bestFit="1" customWidth="1"/>
    <col min="5" max="7" width="11.85546875" style="22" bestFit="1" customWidth="1"/>
    <col min="8" max="9" width="12.5703125" style="22" bestFit="1" customWidth="1"/>
    <col min="10" max="10" width="11.85546875" style="22" bestFit="1" customWidth="1"/>
    <col min="11" max="11" width="24.140625" style="5" bestFit="1" customWidth="1"/>
    <col min="12" max="12" width="11.140625" style="3" bestFit="1" customWidth="1"/>
    <col min="13" max="13" width="9.42578125" style="3" bestFit="1" customWidth="1"/>
    <col min="14" max="14" width="45" style="5" bestFit="1" customWidth="1"/>
    <col min="15" max="15" width="7" style="1" bestFit="1" customWidth="1"/>
    <col min="16" max="16" width="9.140625" style="5" bestFit="1" customWidth="1"/>
    <col min="17" max="17" width="5.140625" style="5" bestFit="1" customWidth="1"/>
    <col min="18" max="18" width="25.28515625" style="5" bestFit="1" customWidth="1"/>
    <col min="19" max="16384" width="9.140625" style="5"/>
  </cols>
  <sheetData>
    <row r="1" spans="1:18" ht="21">
      <c r="A1" s="278" t="s">
        <v>21</v>
      </c>
      <c r="B1" s="278"/>
      <c r="C1" s="278"/>
      <c r="D1" s="278"/>
      <c r="E1" s="278"/>
      <c r="F1" s="278"/>
      <c r="G1" s="278"/>
      <c r="H1" s="278"/>
      <c r="I1" s="278"/>
      <c r="J1" s="278"/>
      <c r="K1" s="2"/>
    </row>
    <row r="2" spans="1:18" ht="18.75">
      <c r="A2" s="279" t="s">
        <v>283</v>
      </c>
      <c r="B2" s="279"/>
      <c r="C2" s="279"/>
      <c r="D2" s="279"/>
      <c r="E2" s="279"/>
      <c r="F2" s="279"/>
      <c r="G2" s="279"/>
      <c r="H2" s="279"/>
      <c r="I2" s="279"/>
      <c r="J2" s="279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6" t="s">
        <v>18</v>
      </c>
      <c r="N3" s="49" t="s">
        <v>1</v>
      </c>
      <c r="O3" s="49" t="s">
        <v>2</v>
      </c>
      <c r="P3" s="4" t="s">
        <v>3</v>
      </c>
      <c r="Q3" s="4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0" t="s">
        <v>44</v>
      </c>
      <c r="E4" s="126"/>
      <c r="F4" s="13" t="s">
        <v>43</v>
      </c>
      <c r="G4" s="14"/>
      <c r="H4" s="125"/>
      <c r="I4" s="13" t="s">
        <v>103</v>
      </c>
      <c r="J4" s="126"/>
      <c r="L4" s="116" t="s">
        <v>87</v>
      </c>
      <c r="M4" s="96" t="s">
        <v>43</v>
      </c>
      <c r="N4" s="117" t="s">
        <v>39</v>
      </c>
      <c r="O4" s="116">
        <v>4</v>
      </c>
      <c r="P4" s="48">
        <f>Q4/1.25</f>
        <v>48</v>
      </c>
      <c r="Q4" s="95">
        <f>O4*15</f>
        <v>60</v>
      </c>
      <c r="R4" s="118" t="s">
        <v>106</v>
      </c>
    </row>
    <row r="5" spans="1:18">
      <c r="A5" s="113">
        <v>46231</v>
      </c>
      <c r="B5" s="13" t="s">
        <v>68</v>
      </c>
      <c r="C5" s="13">
        <f>C4+1</f>
        <v>2</v>
      </c>
      <c r="D5" s="126"/>
      <c r="E5" s="10" t="s">
        <v>102</v>
      </c>
      <c r="F5" s="125"/>
      <c r="G5" s="14"/>
      <c r="H5" s="13" t="s">
        <v>43</v>
      </c>
      <c r="I5" s="125"/>
      <c r="J5" s="10"/>
      <c r="L5" s="116" t="s">
        <v>88</v>
      </c>
      <c r="M5" s="96" t="s">
        <v>102</v>
      </c>
      <c r="N5" s="117" t="s">
        <v>38</v>
      </c>
      <c r="O5" s="116">
        <v>3</v>
      </c>
      <c r="P5" s="48">
        <f t="shared" ref="P5:P7" si="0">Q5/1.25</f>
        <v>36</v>
      </c>
      <c r="Q5" s="95">
        <f t="shared" ref="Q5:Q7" si="1">O5*15</f>
        <v>45</v>
      </c>
      <c r="R5" s="118" t="s">
        <v>107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0" t="s">
        <v>43</v>
      </c>
      <c r="E6" s="126"/>
      <c r="F6" s="13" t="s">
        <v>64</v>
      </c>
      <c r="G6" s="14"/>
      <c r="H6" s="125"/>
      <c r="I6" s="13" t="s">
        <v>104</v>
      </c>
      <c r="J6" s="126"/>
      <c r="L6" s="116" t="s">
        <v>89</v>
      </c>
      <c r="M6" s="96" t="s">
        <v>64</v>
      </c>
      <c r="N6" s="117" t="s">
        <v>82</v>
      </c>
      <c r="O6" s="116">
        <v>2</v>
      </c>
      <c r="P6" s="48">
        <f t="shared" si="0"/>
        <v>24</v>
      </c>
      <c r="Q6" s="95">
        <f t="shared" si="1"/>
        <v>30</v>
      </c>
      <c r="R6" s="127" t="s">
        <v>278</v>
      </c>
    </row>
    <row r="7" spans="1:18">
      <c r="A7" s="113">
        <v>46233</v>
      </c>
      <c r="B7" s="13" t="s">
        <v>70</v>
      </c>
      <c r="C7" s="13">
        <f t="shared" si="2"/>
        <v>4</v>
      </c>
      <c r="D7" s="126"/>
      <c r="E7" s="10" t="s">
        <v>103</v>
      </c>
      <c r="F7" s="125"/>
      <c r="G7" s="14"/>
      <c r="H7" s="22" t="s">
        <v>64</v>
      </c>
      <c r="I7" s="125"/>
      <c r="J7" s="10" t="s">
        <v>44</v>
      </c>
      <c r="L7" s="116" t="s">
        <v>90</v>
      </c>
      <c r="M7" s="96" t="s">
        <v>103</v>
      </c>
      <c r="N7" s="117" t="s">
        <v>83</v>
      </c>
      <c r="O7" s="116">
        <v>3</v>
      </c>
      <c r="P7" s="48">
        <f t="shared" si="0"/>
        <v>36</v>
      </c>
      <c r="Q7" s="95">
        <f t="shared" si="1"/>
        <v>45</v>
      </c>
      <c r="R7" s="118" t="s">
        <v>97</v>
      </c>
    </row>
    <row r="8" spans="1:18">
      <c r="A8" s="113">
        <v>46234</v>
      </c>
      <c r="B8" s="13" t="s">
        <v>71</v>
      </c>
      <c r="C8" s="13">
        <f t="shared" si="2"/>
        <v>5</v>
      </c>
      <c r="D8" s="10" t="s">
        <v>104</v>
      </c>
      <c r="E8" s="126"/>
      <c r="F8" s="13" t="s">
        <v>43</v>
      </c>
      <c r="G8" s="14"/>
      <c r="H8" s="125"/>
      <c r="I8" s="13" t="s">
        <v>102</v>
      </c>
      <c r="J8" s="126"/>
      <c r="L8" s="116" t="s">
        <v>91</v>
      </c>
      <c r="M8" s="96" t="s">
        <v>214</v>
      </c>
      <c r="N8" s="117" t="s">
        <v>275</v>
      </c>
      <c r="O8" s="116">
        <v>2</v>
      </c>
      <c r="P8" s="7">
        <f>Q8/1.25</f>
        <v>24</v>
      </c>
      <c r="Q8" s="7">
        <f>O8*15</f>
        <v>30</v>
      </c>
      <c r="R8" s="118" t="s">
        <v>279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/>
      <c r="G9" s="14"/>
      <c r="H9" s="13"/>
      <c r="I9" s="13"/>
      <c r="J9" s="10"/>
      <c r="L9" s="116" t="s">
        <v>92</v>
      </c>
      <c r="M9" s="97" t="s">
        <v>104</v>
      </c>
      <c r="N9" s="117" t="s">
        <v>84</v>
      </c>
      <c r="O9" s="116">
        <v>3</v>
      </c>
      <c r="P9" s="7">
        <f t="shared" ref="P9:P11" si="3">Q9/1.25</f>
        <v>36</v>
      </c>
      <c r="Q9" s="7">
        <f>O9*15</f>
        <v>45</v>
      </c>
      <c r="R9" s="118" t="s">
        <v>108</v>
      </c>
    </row>
    <row r="10" spans="1:18" ht="15.75" thickBot="1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16" t="s">
        <v>93</v>
      </c>
      <c r="M10" s="98" t="s">
        <v>45</v>
      </c>
      <c r="N10" s="117" t="s">
        <v>85</v>
      </c>
      <c r="O10" s="116">
        <v>2</v>
      </c>
      <c r="P10" s="7">
        <f t="shared" si="3"/>
        <v>24</v>
      </c>
      <c r="Q10" s="7">
        <f t="shared" ref="Q10:Q11" si="4">O10*15</f>
        <v>30</v>
      </c>
      <c r="R10" s="118" t="s">
        <v>100</v>
      </c>
    </row>
    <row r="11" spans="1:18">
      <c r="A11" s="113">
        <v>46237</v>
      </c>
      <c r="B11" s="13" t="s">
        <v>67</v>
      </c>
      <c r="C11" s="171">
        <f>C9+1</f>
        <v>7</v>
      </c>
      <c r="D11" s="208" t="s">
        <v>44</v>
      </c>
      <c r="E11" s="184"/>
      <c r="F11" s="185" t="s">
        <v>43</v>
      </c>
      <c r="G11" s="186"/>
      <c r="H11" s="187"/>
      <c r="I11" s="185" t="s">
        <v>103</v>
      </c>
      <c r="J11" s="188"/>
      <c r="L11" s="116" t="s">
        <v>94</v>
      </c>
      <c r="M11" s="51" t="s">
        <v>44</v>
      </c>
      <c r="N11" s="117" t="s">
        <v>86</v>
      </c>
      <c r="O11" s="116">
        <v>3</v>
      </c>
      <c r="P11" s="7">
        <f t="shared" si="3"/>
        <v>36</v>
      </c>
      <c r="Q11" s="7">
        <f t="shared" si="4"/>
        <v>45</v>
      </c>
      <c r="R11" s="118" t="s">
        <v>109</v>
      </c>
    </row>
    <row r="12" spans="1:18">
      <c r="A12" s="113">
        <v>46238</v>
      </c>
      <c r="B12" s="13" t="s">
        <v>68</v>
      </c>
      <c r="C12" s="171">
        <f>C11+1</f>
        <v>8</v>
      </c>
      <c r="D12" s="189"/>
      <c r="E12" s="10" t="s">
        <v>102</v>
      </c>
      <c r="F12" s="125"/>
      <c r="G12" s="14"/>
      <c r="H12" s="13" t="s">
        <v>43</v>
      </c>
      <c r="I12" s="125"/>
      <c r="J12" s="193"/>
      <c r="L12" s="111"/>
      <c r="M12" s="107"/>
      <c r="N12" s="112"/>
      <c r="O12" s="119">
        <f>SUM(O4:O11)</f>
        <v>22</v>
      </c>
      <c r="P12" s="119">
        <f>SUM(P4:P11)</f>
        <v>264</v>
      </c>
      <c r="Q12" s="119">
        <f>SUM(Q4:Q11)</f>
        <v>330</v>
      </c>
      <c r="R12" s="54"/>
    </row>
    <row r="13" spans="1:18">
      <c r="A13" s="113">
        <v>46239</v>
      </c>
      <c r="B13" s="13" t="s">
        <v>69</v>
      </c>
      <c r="C13" s="171">
        <f t="shared" ref="C13:C16" si="5">C12+1</f>
        <v>9</v>
      </c>
      <c r="D13" s="191" t="s">
        <v>43</v>
      </c>
      <c r="E13" s="126"/>
      <c r="F13" s="13" t="s">
        <v>64</v>
      </c>
      <c r="G13" s="14"/>
      <c r="H13" s="125"/>
      <c r="I13" s="13" t="s">
        <v>104</v>
      </c>
      <c r="J13" s="192"/>
      <c r="N13" s="28"/>
      <c r="O13" s="5"/>
    </row>
    <row r="14" spans="1:18">
      <c r="A14" s="113">
        <v>46240</v>
      </c>
      <c r="B14" s="13" t="s">
        <v>70</v>
      </c>
      <c r="C14" s="171">
        <f t="shared" si="5"/>
        <v>10</v>
      </c>
      <c r="D14" s="189"/>
      <c r="E14" s="10" t="s">
        <v>103</v>
      </c>
      <c r="F14" s="125"/>
      <c r="G14" s="14"/>
      <c r="H14" s="68" t="s">
        <v>64</v>
      </c>
      <c r="I14" s="125"/>
      <c r="J14" s="193" t="s">
        <v>44</v>
      </c>
      <c r="N14" s="28"/>
      <c r="O14" s="5"/>
    </row>
    <row r="15" spans="1:18" ht="15.75" thickBot="1">
      <c r="A15" s="113">
        <v>46241</v>
      </c>
      <c r="B15" s="13" t="s">
        <v>71</v>
      </c>
      <c r="C15" s="171">
        <f t="shared" si="5"/>
        <v>11</v>
      </c>
      <c r="D15" s="194" t="s">
        <v>104</v>
      </c>
      <c r="E15" s="195"/>
      <c r="F15" s="196" t="s">
        <v>43</v>
      </c>
      <c r="G15" s="197"/>
      <c r="H15" s="198"/>
      <c r="I15" s="209" t="s">
        <v>102</v>
      </c>
      <c r="J15" s="199"/>
      <c r="N15" s="28"/>
      <c r="O15" s="5"/>
    </row>
    <row r="16" spans="1:18">
      <c r="A16" s="113">
        <v>46242</v>
      </c>
      <c r="B16" s="13" t="s">
        <v>72</v>
      </c>
      <c r="C16" s="13">
        <f t="shared" si="5"/>
        <v>12</v>
      </c>
      <c r="D16" s="180"/>
      <c r="E16" s="180"/>
      <c r="F16" s="181"/>
      <c r="G16" s="182"/>
      <c r="H16" s="181"/>
      <c r="I16" s="181"/>
      <c r="J16" s="180"/>
      <c r="N16" s="28"/>
      <c r="O16" s="5"/>
    </row>
    <row r="17" spans="1:18" hidden="1">
      <c r="A17" s="113">
        <v>46243</v>
      </c>
      <c r="B17" s="13" t="s">
        <v>73</v>
      </c>
      <c r="C17" s="13"/>
      <c r="D17" s="13"/>
      <c r="E17" s="12"/>
      <c r="F17" s="13"/>
      <c r="G17" s="15"/>
      <c r="H17" s="109"/>
      <c r="I17" s="10"/>
      <c r="J17" s="13"/>
      <c r="N17" s="28"/>
      <c r="O17" s="5"/>
    </row>
    <row r="18" spans="1:18" hidden="1">
      <c r="A18" s="113">
        <v>46244</v>
      </c>
      <c r="B18" s="13" t="s">
        <v>67</v>
      </c>
      <c r="C18" s="13">
        <f>C16+1</f>
        <v>13</v>
      </c>
      <c r="D18" s="10" t="s">
        <v>44</v>
      </c>
      <c r="E18" s="126"/>
      <c r="F18" s="13" t="s">
        <v>43</v>
      </c>
      <c r="G18" s="14"/>
      <c r="H18" s="125"/>
      <c r="I18" s="13" t="s">
        <v>103</v>
      </c>
      <c r="J18" s="126"/>
      <c r="N18" s="28"/>
      <c r="O18" s="5"/>
    </row>
    <row r="19" spans="1:18" hidden="1">
      <c r="A19" s="113">
        <v>46245</v>
      </c>
      <c r="B19" s="13" t="s">
        <v>68</v>
      </c>
      <c r="C19" s="13">
        <f>C18+1</f>
        <v>14</v>
      </c>
      <c r="D19" s="126"/>
      <c r="E19" s="10" t="s">
        <v>102</v>
      </c>
      <c r="F19" s="125"/>
      <c r="G19" s="14"/>
      <c r="H19" s="13" t="s">
        <v>45</v>
      </c>
      <c r="I19" s="125"/>
      <c r="J19" s="21"/>
      <c r="K19" s="5" t="s">
        <v>295</v>
      </c>
      <c r="N19" s="28"/>
      <c r="O19" s="5"/>
    </row>
    <row r="20" spans="1:18" hidden="1">
      <c r="A20" s="113">
        <v>46246</v>
      </c>
      <c r="B20" s="13" t="s">
        <v>69</v>
      </c>
      <c r="C20" s="13">
        <f t="shared" ref="C20:C22" si="6">C19+1</f>
        <v>15</v>
      </c>
      <c r="D20" s="10" t="s">
        <v>43</v>
      </c>
      <c r="E20" s="126"/>
      <c r="F20" s="13" t="s">
        <v>64</v>
      </c>
      <c r="G20" s="14"/>
      <c r="H20" s="125"/>
      <c r="I20" s="13" t="s">
        <v>104</v>
      </c>
      <c r="J20" s="126"/>
      <c r="N20" s="28"/>
      <c r="O20" s="5"/>
    </row>
    <row r="21" spans="1:18" hidden="1">
      <c r="A21" s="113">
        <v>46247</v>
      </c>
      <c r="B21" s="13" t="s">
        <v>70</v>
      </c>
      <c r="C21" s="13">
        <f t="shared" si="6"/>
        <v>16</v>
      </c>
      <c r="D21" s="126"/>
      <c r="E21" s="10" t="s">
        <v>103</v>
      </c>
      <c r="F21" s="233" t="s">
        <v>44</v>
      </c>
      <c r="G21" s="14"/>
      <c r="H21" s="22" t="s">
        <v>64</v>
      </c>
      <c r="I21" s="125"/>
      <c r="J21" s="10"/>
      <c r="K21" s="5" t="s">
        <v>306</v>
      </c>
      <c r="N21" s="28"/>
      <c r="O21" s="5"/>
    </row>
    <row r="22" spans="1:18" hidden="1">
      <c r="A22" s="113">
        <v>46248</v>
      </c>
      <c r="B22" s="13" t="s">
        <v>71</v>
      </c>
      <c r="C22" s="13">
        <f t="shared" si="6"/>
        <v>17</v>
      </c>
      <c r="D22" s="10" t="s">
        <v>45</v>
      </c>
      <c r="E22" s="126"/>
      <c r="F22" s="13" t="s">
        <v>43</v>
      </c>
      <c r="G22" s="14"/>
      <c r="H22" s="125"/>
      <c r="I22" s="13" t="s">
        <v>102</v>
      </c>
      <c r="J22" s="126"/>
      <c r="K22" s="5" t="s">
        <v>296</v>
      </c>
      <c r="N22" s="28"/>
      <c r="O22" s="5"/>
    </row>
    <row r="23" spans="1:18" hidden="1">
      <c r="A23" s="113">
        <v>46249</v>
      </c>
      <c r="B23" s="13" t="s">
        <v>72</v>
      </c>
      <c r="C23" s="114" t="s">
        <v>23</v>
      </c>
      <c r="D23" s="10"/>
      <c r="E23" s="10"/>
      <c r="F23" s="13"/>
      <c r="G23" s="14"/>
      <c r="H23" s="13"/>
      <c r="I23" s="13"/>
      <c r="J23" s="10"/>
      <c r="N23" s="3"/>
      <c r="O23" s="5"/>
    </row>
    <row r="24" spans="1:18" hidden="1">
      <c r="A24" s="113">
        <v>46250</v>
      </c>
      <c r="B24" s="13" t="s">
        <v>73</v>
      </c>
      <c r="C24" s="114"/>
      <c r="D24" s="175"/>
      <c r="E24" s="176"/>
      <c r="F24" s="175"/>
      <c r="G24" s="177"/>
      <c r="H24" s="178"/>
      <c r="I24" s="179"/>
      <c r="J24" s="175"/>
      <c r="N24" s="1"/>
      <c r="O24" s="5"/>
    </row>
    <row r="25" spans="1:18" hidden="1">
      <c r="A25" s="113">
        <v>46251</v>
      </c>
      <c r="B25" s="13" t="s">
        <v>67</v>
      </c>
      <c r="C25" s="227">
        <f>C22+1</f>
        <v>18</v>
      </c>
      <c r="D25" s="10" t="s">
        <v>44</v>
      </c>
      <c r="E25" s="126"/>
      <c r="F25" s="13" t="s">
        <v>43</v>
      </c>
      <c r="G25" s="14"/>
      <c r="H25" s="125"/>
      <c r="I25" s="13" t="s">
        <v>103</v>
      </c>
      <c r="J25" s="126"/>
      <c r="N25" s="1"/>
      <c r="O25" s="5"/>
    </row>
    <row r="26" spans="1:18" hidden="1">
      <c r="A26" s="113">
        <v>46252</v>
      </c>
      <c r="B26" s="13" t="s">
        <v>68</v>
      </c>
      <c r="C26" s="227">
        <f>C25+1</f>
        <v>19</v>
      </c>
      <c r="D26" s="126" t="s">
        <v>43</v>
      </c>
      <c r="E26" s="10" t="s">
        <v>102</v>
      </c>
      <c r="F26" s="125"/>
      <c r="G26" s="14"/>
      <c r="H26" s="13" t="s">
        <v>45</v>
      </c>
      <c r="I26" s="125" t="s">
        <v>64</v>
      </c>
      <c r="J26" s="10"/>
      <c r="K26" s="5" t="s">
        <v>318</v>
      </c>
      <c r="N26" s="1"/>
      <c r="O26" s="5"/>
    </row>
    <row r="27" spans="1:18" hidden="1">
      <c r="A27" s="113">
        <v>46253</v>
      </c>
      <c r="B27" s="13" t="s">
        <v>69</v>
      </c>
      <c r="C27" s="227">
        <f t="shared" ref="C27:C30" si="7">C26+1</f>
        <v>20</v>
      </c>
      <c r="D27" s="10" t="s">
        <v>43</v>
      </c>
      <c r="E27" s="126" t="s">
        <v>44</v>
      </c>
      <c r="F27" s="13" t="s">
        <v>64</v>
      </c>
      <c r="G27" s="14"/>
      <c r="H27" s="125"/>
      <c r="I27" s="13" t="s">
        <v>104</v>
      </c>
      <c r="J27" s="126"/>
      <c r="K27" s="5" t="s">
        <v>291</v>
      </c>
      <c r="N27" s="1"/>
      <c r="O27" s="5"/>
      <c r="R27" s="1"/>
    </row>
    <row r="28" spans="1:18" hidden="1">
      <c r="A28" s="113">
        <v>46254</v>
      </c>
      <c r="B28" s="13" t="s">
        <v>70</v>
      </c>
      <c r="C28" s="227">
        <f t="shared" si="7"/>
        <v>21</v>
      </c>
      <c r="D28" s="126"/>
      <c r="E28" s="10" t="s">
        <v>103</v>
      </c>
      <c r="F28" s="125" t="s">
        <v>102</v>
      </c>
      <c r="G28" s="14"/>
      <c r="H28" s="13" t="s">
        <v>45</v>
      </c>
      <c r="I28" s="125" t="s">
        <v>104</v>
      </c>
      <c r="J28" s="10" t="s">
        <v>44</v>
      </c>
      <c r="K28" s="5" t="s">
        <v>313</v>
      </c>
      <c r="N28" s="1"/>
      <c r="O28" s="5"/>
      <c r="Q28" s="1"/>
    </row>
    <row r="29" spans="1:18" hidden="1">
      <c r="A29" s="113">
        <v>46255</v>
      </c>
      <c r="B29" s="13" t="s">
        <v>71</v>
      </c>
      <c r="C29" s="227">
        <f t="shared" si="7"/>
        <v>22</v>
      </c>
      <c r="D29" s="10" t="s">
        <v>104</v>
      </c>
      <c r="E29" s="126"/>
      <c r="F29" s="13" t="s">
        <v>43</v>
      </c>
      <c r="G29" s="14"/>
      <c r="H29" s="125"/>
      <c r="I29" s="13" t="s">
        <v>102</v>
      </c>
      <c r="J29" s="126"/>
      <c r="N29" s="1"/>
      <c r="O29" s="5"/>
      <c r="Q29" s="1"/>
    </row>
    <row r="30" spans="1:18" hidden="1">
      <c r="A30" s="113">
        <v>46256</v>
      </c>
      <c r="B30" s="13" t="s">
        <v>72</v>
      </c>
      <c r="C30" s="227">
        <f t="shared" si="7"/>
        <v>23</v>
      </c>
      <c r="D30" s="10"/>
      <c r="E30" s="10"/>
      <c r="F30" s="13"/>
      <c r="G30" s="14"/>
      <c r="H30" s="13"/>
      <c r="I30" s="13"/>
      <c r="J30" s="10"/>
      <c r="N30" s="1"/>
      <c r="O30" s="5"/>
      <c r="Q30" s="1"/>
    </row>
    <row r="31" spans="1:18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0"/>
      <c r="J31" s="13"/>
      <c r="N31" s="1"/>
      <c r="O31" s="5"/>
      <c r="Q31" s="1"/>
    </row>
    <row r="32" spans="1:18" hidden="1">
      <c r="A32" s="113">
        <v>46258</v>
      </c>
      <c r="B32" s="13" t="s">
        <v>67</v>
      </c>
      <c r="C32" s="227">
        <f>C29+1</f>
        <v>23</v>
      </c>
      <c r="D32" s="10" t="s">
        <v>44</v>
      </c>
      <c r="E32" s="126"/>
      <c r="F32" s="13" t="s">
        <v>43</v>
      </c>
      <c r="G32" s="14"/>
      <c r="H32" s="125"/>
      <c r="I32" s="13" t="s">
        <v>103</v>
      </c>
      <c r="J32" s="126"/>
      <c r="N32" s="1"/>
      <c r="O32" s="5"/>
      <c r="Q32" s="1"/>
    </row>
    <row r="33" spans="1:18" hidden="1">
      <c r="A33" s="113">
        <v>46259</v>
      </c>
      <c r="B33" s="13" t="s">
        <v>68</v>
      </c>
      <c r="C33" s="227">
        <f>C32+1</f>
        <v>24</v>
      </c>
      <c r="D33" s="126" t="s">
        <v>43</v>
      </c>
      <c r="E33" s="10" t="s">
        <v>102</v>
      </c>
      <c r="F33" s="125"/>
      <c r="G33" s="14"/>
      <c r="H33" s="13" t="s">
        <v>45</v>
      </c>
      <c r="I33" s="125" t="s">
        <v>64</v>
      </c>
      <c r="J33" s="10"/>
      <c r="K33" s="5" t="s">
        <v>318</v>
      </c>
      <c r="N33" s="1"/>
      <c r="O33" s="5"/>
      <c r="Q33" s="1"/>
    </row>
    <row r="34" spans="1:18" hidden="1">
      <c r="A34" s="113">
        <v>46260</v>
      </c>
      <c r="B34" s="13" t="s">
        <v>69</v>
      </c>
      <c r="C34" s="227">
        <f t="shared" ref="C34:C35" si="8">C33+1</f>
        <v>25</v>
      </c>
      <c r="D34" s="10" t="s">
        <v>43</v>
      </c>
      <c r="E34" s="126" t="s">
        <v>44</v>
      </c>
      <c r="F34" s="13" t="s">
        <v>64</v>
      </c>
      <c r="G34" s="14"/>
      <c r="H34" s="125"/>
      <c r="I34" s="13" t="s">
        <v>104</v>
      </c>
      <c r="J34" s="126"/>
      <c r="K34" s="5" t="s">
        <v>291</v>
      </c>
      <c r="N34" s="1"/>
      <c r="O34" s="5"/>
      <c r="Q34" s="1"/>
    </row>
    <row r="35" spans="1:18" hidden="1">
      <c r="A35" s="113">
        <v>46261</v>
      </c>
      <c r="B35" s="13" t="s">
        <v>70</v>
      </c>
      <c r="C35" s="227">
        <f t="shared" si="8"/>
        <v>26</v>
      </c>
      <c r="D35" s="126"/>
      <c r="E35" s="10" t="s">
        <v>103</v>
      </c>
      <c r="F35" s="125" t="s">
        <v>102</v>
      </c>
      <c r="G35" s="14"/>
      <c r="H35" s="13" t="s">
        <v>45</v>
      </c>
      <c r="I35" s="125" t="s">
        <v>104</v>
      </c>
      <c r="J35" s="10" t="s">
        <v>44</v>
      </c>
      <c r="K35" s="5" t="s">
        <v>313</v>
      </c>
      <c r="N35" s="1"/>
      <c r="O35" s="5"/>
      <c r="P35" s="1"/>
      <c r="Q35" s="1"/>
      <c r="R35" s="28"/>
    </row>
    <row r="36" spans="1:18" hidden="1">
      <c r="A36" s="113">
        <v>46262</v>
      </c>
      <c r="B36" s="13" t="s">
        <v>71</v>
      </c>
      <c r="C36" s="227" t="s">
        <v>22</v>
      </c>
      <c r="D36" s="10"/>
      <c r="E36" s="126"/>
      <c r="F36" s="13"/>
      <c r="G36" s="14"/>
      <c r="H36" s="125"/>
      <c r="I36" s="13"/>
      <c r="J36" s="126"/>
      <c r="N36" s="1"/>
      <c r="O36" s="5"/>
      <c r="P36" s="1"/>
      <c r="Q36" s="1"/>
      <c r="R36" s="1"/>
    </row>
    <row r="37" spans="1:18" hidden="1">
      <c r="A37" s="113">
        <v>46263</v>
      </c>
      <c r="B37" s="13" t="s">
        <v>72</v>
      </c>
      <c r="C37" s="228">
        <f>C35+1</f>
        <v>27</v>
      </c>
      <c r="D37" s="10"/>
      <c r="E37" s="10"/>
      <c r="F37" s="13"/>
      <c r="G37" s="14"/>
      <c r="H37" s="13"/>
      <c r="I37" s="13"/>
      <c r="J37" s="10"/>
      <c r="N37" s="28"/>
      <c r="O37" s="5"/>
      <c r="P37" s="1"/>
      <c r="Q37" s="1"/>
      <c r="R37" s="3"/>
    </row>
    <row r="38" spans="1:18">
      <c r="A38" s="113">
        <v>46264</v>
      </c>
      <c r="B38" s="13" t="s">
        <v>73</v>
      </c>
      <c r="C38" s="229"/>
      <c r="D38" s="13"/>
      <c r="E38" s="12"/>
      <c r="F38" s="13"/>
      <c r="G38" s="15"/>
      <c r="H38" s="109"/>
      <c r="I38" s="10"/>
      <c r="J38" s="13"/>
      <c r="N38" s="1"/>
      <c r="O38" s="5"/>
      <c r="P38" s="1"/>
      <c r="Q38" s="1"/>
      <c r="R38" s="1"/>
    </row>
    <row r="39" spans="1:18">
      <c r="A39" s="113">
        <v>46265</v>
      </c>
      <c r="B39" s="13" t="s">
        <v>67</v>
      </c>
      <c r="C39" s="227">
        <f>C37+1</f>
        <v>28</v>
      </c>
      <c r="D39" s="10" t="s">
        <v>44</v>
      </c>
      <c r="E39" s="126"/>
      <c r="F39" s="13" t="s">
        <v>43</v>
      </c>
      <c r="G39" s="14"/>
      <c r="H39" s="125"/>
      <c r="I39" s="13" t="s">
        <v>103</v>
      </c>
      <c r="J39" s="126"/>
      <c r="N39" s="1"/>
      <c r="O39" s="5"/>
      <c r="P39" s="1"/>
      <c r="Q39" s="1"/>
      <c r="R39" s="1"/>
    </row>
    <row r="40" spans="1:18">
      <c r="A40" s="113">
        <v>46266</v>
      </c>
      <c r="B40" s="13" t="s">
        <v>68</v>
      </c>
      <c r="C40" s="227">
        <f>C39+1</f>
        <v>29</v>
      </c>
      <c r="D40" s="126" t="s">
        <v>43</v>
      </c>
      <c r="E40" s="10" t="s">
        <v>102</v>
      </c>
      <c r="F40" s="125" t="s">
        <v>44</v>
      </c>
      <c r="G40" s="14"/>
      <c r="H40" s="13" t="s">
        <v>45</v>
      </c>
      <c r="I40" s="125" t="s">
        <v>64</v>
      </c>
      <c r="J40" s="10"/>
      <c r="K40" s="5" t="s">
        <v>327</v>
      </c>
      <c r="N40" s="28"/>
      <c r="O40" s="5"/>
      <c r="P40" s="1"/>
      <c r="Q40" s="1"/>
      <c r="R40" s="1"/>
    </row>
    <row r="41" spans="1:18">
      <c r="A41" s="113">
        <v>46267</v>
      </c>
      <c r="B41" s="13" t="s">
        <v>69</v>
      </c>
      <c r="C41" s="227">
        <f t="shared" ref="C41:C42" si="9">C40+1</f>
        <v>30</v>
      </c>
      <c r="D41" s="10" t="s">
        <v>43</v>
      </c>
      <c r="E41" s="126" t="s">
        <v>44</v>
      </c>
      <c r="F41" s="13" t="s">
        <v>64</v>
      </c>
      <c r="G41" s="14"/>
      <c r="H41" s="125"/>
      <c r="I41" s="13" t="s">
        <v>104</v>
      </c>
      <c r="J41" s="126"/>
      <c r="K41" s="5" t="s">
        <v>291</v>
      </c>
      <c r="N41" s="28"/>
      <c r="O41" s="5"/>
      <c r="P41" s="1"/>
      <c r="Q41" s="1"/>
      <c r="R41" s="1"/>
    </row>
    <row r="42" spans="1:18">
      <c r="A42" s="113">
        <v>46268</v>
      </c>
      <c r="B42" s="13" t="s">
        <v>70</v>
      </c>
      <c r="C42" s="227">
        <f t="shared" si="9"/>
        <v>31</v>
      </c>
      <c r="D42" s="126"/>
      <c r="E42" s="10" t="s">
        <v>103</v>
      </c>
      <c r="F42" s="125" t="s">
        <v>102</v>
      </c>
      <c r="G42" s="14"/>
      <c r="H42" s="13" t="s">
        <v>45</v>
      </c>
      <c r="I42" s="125" t="s">
        <v>104</v>
      </c>
      <c r="J42" s="10" t="s">
        <v>44</v>
      </c>
      <c r="K42" s="5" t="s">
        <v>328</v>
      </c>
      <c r="N42" s="28"/>
      <c r="O42" s="5"/>
      <c r="P42" s="1"/>
      <c r="Q42" s="1"/>
      <c r="R42" s="1"/>
    </row>
    <row r="43" spans="1:18">
      <c r="A43" s="113">
        <v>46269</v>
      </c>
      <c r="B43" s="13" t="s">
        <v>71</v>
      </c>
      <c r="C43" s="227" t="s">
        <v>81</v>
      </c>
      <c r="D43" s="10"/>
      <c r="E43" s="126"/>
      <c r="F43" s="13"/>
      <c r="G43" s="14"/>
      <c r="H43" s="125"/>
      <c r="I43" s="13"/>
      <c r="J43" s="126"/>
      <c r="N43" s="28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228">
        <f>C42+1</f>
        <v>32</v>
      </c>
      <c r="D44" s="10"/>
      <c r="E44" s="10"/>
      <c r="F44" s="13"/>
      <c r="G44" s="14"/>
      <c r="H44" s="13"/>
      <c r="I44" s="13"/>
      <c r="J44" s="109"/>
      <c r="N44" s="28"/>
      <c r="O44" s="5"/>
      <c r="P44" s="1"/>
      <c r="Q44" s="1"/>
      <c r="R44" s="1"/>
    </row>
    <row r="45" spans="1:18">
      <c r="A45" s="113">
        <v>46271</v>
      </c>
      <c r="B45" s="13" t="s">
        <v>73</v>
      </c>
      <c r="C45" s="227"/>
      <c r="D45" s="13"/>
      <c r="E45" s="12"/>
      <c r="F45" s="13"/>
      <c r="G45" s="15"/>
      <c r="H45" s="109"/>
      <c r="I45" s="10"/>
      <c r="J45" s="13"/>
      <c r="L45" s="1"/>
      <c r="M45" s="1"/>
      <c r="N45" s="28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227">
        <f>C44+1</f>
        <v>33</v>
      </c>
      <c r="D46" s="10" t="s">
        <v>44</v>
      </c>
      <c r="E46" s="126"/>
      <c r="F46" s="13" t="s">
        <v>43</v>
      </c>
      <c r="G46" s="14"/>
      <c r="H46" s="125"/>
      <c r="I46" s="13" t="s">
        <v>103</v>
      </c>
      <c r="J46" s="126"/>
      <c r="L46" s="1"/>
      <c r="M46" s="1"/>
      <c r="N46" s="28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227">
        <f>C46+1</f>
        <v>34</v>
      </c>
      <c r="D47" s="126" t="s">
        <v>43</v>
      </c>
      <c r="E47" s="10" t="s">
        <v>102</v>
      </c>
      <c r="F47" s="125" t="s">
        <v>44</v>
      </c>
      <c r="G47" s="14"/>
      <c r="H47" s="13" t="s">
        <v>64</v>
      </c>
      <c r="I47" s="273" t="s">
        <v>64</v>
      </c>
      <c r="J47" s="10"/>
      <c r="K47" s="5" t="s">
        <v>334</v>
      </c>
      <c r="L47" s="28"/>
      <c r="M47" s="28"/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227">
        <f t="shared" ref="C48:C51" si="10">C47+1</f>
        <v>35</v>
      </c>
      <c r="D48" s="10" t="s">
        <v>43</v>
      </c>
      <c r="E48" s="126" t="s">
        <v>44</v>
      </c>
      <c r="F48" s="13" t="s">
        <v>64</v>
      </c>
      <c r="G48" s="14"/>
      <c r="H48" s="125"/>
      <c r="I48" s="13" t="s">
        <v>104</v>
      </c>
      <c r="J48" s="126"/>
      <c r="K48" s="5" t="s">
        <v>291</v>
      </c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227">
        <f t="shared" si="10"/>
        <v>36</v>
      </c>
      <c r="D49" s="126"/>
      <c r="E49" s="10" t="s">
        <v>103</v>
      </c>
      <c r="F49" s="125" t="s">
        <v>102</v>
      </c>
      <c r="G49" s="14"/>
      <c r="H49" s="13" t="s">
        <v>45</v>
      </c>
      <c r="I49" s="125" t="s">
        <v>104</v>
      </c>
      <c r="J49" s="10" t="s">
        <v>44</v>
      </c>
      <c r="K49" s="5" t="s">
        <v>328</v>
      </c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227">
        <f t="shared" si="10"/>
        <v>37</v>
      </c>
      <c r="D50" s="10" t="s">
        <v>104</v>
      </c>
      <c r="E50" s="126"/>
      <c r="F50" s="13" t="s">
        <v>43</v>
      </c>
      <c r="G50" s="14"/>
      <c r="H50" s="125"/>
      <c r="I50" s="13" t="s">
        <v>102</v>
      </c>
      <c r="J50" s="126"/>
      <c r="N50" s="30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10"/>
        <v>38</v>
      </c>
      <c r="D51" s="180"/>
      <c r="E51" s="180"/>
      <c r="F51" s="181"/>
      <c r="G51" s="182"/>
      <c r="H51" s="181"/>
      <c r="I51" s="181"/>
      <c r="J51" s="183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N52" s="28"/>
      <c r="O52" s="5"/>
      <c r="P52" s="1"/>
      <c r="Q52" s="1"/>
      <c r="R52" s="1"/>
    </row>
  </sheetData>
  <mergeCells count="2">
    <mergeCell ref="A1:J1"/>
    <mergeCell ref="A2:J2"/>
  </mergeCells>
  <conditionalFormatting sqref="B1:B2 B67:B1048576">
    <cfRule type="cellIs" dxfId="31" priority="2" operator="equal">
      <formula>"Sat"</formula>
    </cfRule>
  </conditionalFormatting>
  <conditionalFormatting sqref="B4:B52">
    <cfRule type="containsText" dxfId="30" priority="1" operator="containsText" text="Sun">
      <formula>NOT(ISERROR(SEARCH("Sun",B4)))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1050-3E83-4C7E-A555-F113AB3471A3}">
  <dimension ref="A1:T17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24" sqref="N24"/>
    </sheetView>
  </sheetViews>
  <sheetFormatPr defaultRowHeight="15"/>
  <cols>
    <col min="1" max="1" width="29.28515625" style="87" customWidth="1"/>
    <col min="2" max="2" width="10.85546875" style="88" customWidth="1"/>
    <col min="3" max="3" width="8.42578125" style="22" customWidth="1"/>
    <col min="4" max="4" width="11.7109375" style="22" bestFit="1" customWidth="1"/>
    <col min="5" max="7" width="11.85546875" style="22" bestFit="1" customWidth="1"/>
    <col min="8" max="9" width="12.5703125" style="22" bestFit="1" customWidth="1"/>
    <col min="10" max="10" width="11.85546875" style="22" bestFit="1" customWidth="1"/>
    <col min="11" max="11" width="2.140625" style="5" customWidth="1"/>
    <col min="12" max="12" width="14.5703125" style="3" bestFit="1" customWidth="1"/>
    <col min="13" max="13" width="9.42578125" style="3" bestFit="1" customWidth="1"/>
    <col min="14" max="14" width="48.42578125" style="5" customWidth="1"/>
    <col min="15" max="15" width="7" style="1" bestFit="1" customWidth="1"/>
    <col min="16" max="16" width="9.140625" style="5" bestFit="1" customWidth="1"/>
    <col min="17" max="17" width="5.140625" style="5" bestFit="1" customWidth="1"/>
    <col min="18" max="18" width="16.140625" style="5" bestFit="1" customWidth="1"/>
    <col min="19" max="19" width="7.42578125" style="5" customWidth="1"/>
    <col min="20" max="20" width="5.85546875" style="5" customWidth="1"/>
    <col min="21" max="16384" width="9.140625" style="5"/>
  </cols>
  <sheetData>
    <row r="1" spans="1:20" ht="21">
      <c r="A1" s="278" t="s">
        <v>21</v>
      </c>
      <c r="B1" s="278"/>
      <c r="C1" s="278"/>
      <c r="D1" s="278"/>
      <c r="E1" s="278"/>
      <c r="F1" s="278"/>
      <c r="G1" s="278"/>
      <c r="H1" s="278"/>
      <c r="I1" s="278"/>
      <c r="J1" s="278"/>
      <c r="K1" s="2"/>
    </row>
    <row r="2" spans="1:20" ht="18.75">
      <c r="A2" s="279" t="s">
        <v>53</v>
      </c>
      <c r="B2" s="279"/>
      <c r="C2" s="279"/>
      <c r="D2" s="279"/>
      <c r="E2" s="279"/>
      <c r="F2" s="279"/>
      <c r="G2" s="279"/>
      <c r="H2" s="279"/>
      <c r="I2" s="279"/>
      <c r="J2" s="279"/>
      <c r="K2" s="2"/>
    </row>
    <row r="3" spans="1:20" s="3" customFormat="1">
      <c r="A3" s="13" t="s">
        <v>5</v>
      </c>
      <c r="B3" s="13" t="s">
        <v>10</v>
      </c>
      <c r="C3" s="13" t="s">
        <v>0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" t="s">
        <v>17</v>
      </c>
      <c r="M3" s="6" t="s">
        <v>18</v>
      </c>
      <c r="N3" s="4" t="s">
        <v>1</v>
      </c>
      <c r="O3" s="4" t="s">
        <v>2</v>
      </c>
      <c r="P3" s="4" t="s">
        <v>3</v>
      </c>
      <c r="Q3" s="4" t="s">
        <v>6</v>
      </c>
      <c r="R3" s="49" t="s">
        <v>4</v>
      </c>
      <c r="S3" s="4" t="s">
        <v>9</v>
      </c>
      <c r="T3" s="4" t="s">
        <v>7</v>
      </c>
    </row>
    <row r="4" spans="1:20">
      <c r="A4" s="56">
        <v>45852</v>
      </c>
      <c r="B4" s="57"/>
      <c r="C4" s="58">
        <v>1</v>
      </c>
      <c r="D4" s="13"/>
      <c r="E4" s="13"/>
      <c r="F4" s="13"/>
      <c r="G4" s="11"/>
      <c r="H4" s="13"/>
      <c r="I4" s="13"/>
      <c r="J4" s="13"/>
      <c r="L4" s="91" t="s">
        <v>56</v>
      </c>
      <c r="M4" s="50" t="s">
        <v>19</v>
      </c>
      <c r="N4" s="92" t="s">
        <v>37</v>
      </c>
      <c r="O4" s="91">
        <v>3</v>
      </c>
      <c r="P4" s="7">
        <f>Q4/1.25</f>
        <v>36</v>
      </c>
      <c r="Q4" s="7">
        <f>O4*15</f>
        <v>45</v>
      </c>
      <c r="R4" s="89" t="s">
        <v>49</v>
      </c>
      <c r="S4" s="7">
        <f>COUNTIF(D$4:J$120,"MPOB")</f>
        <v>0</v>
      </c>
      <c r="T4" s="7">
        <f>P4-S4</f>
        <v>36</v>
      </c>
    </row>
    <row r="5" spans="1:20" ht="15" customHeight="1">
      <c r="A5" s="56">
        <v>45853</v>
      </c>
      <c r="B5" s="57"/>
      <c r="C5" s="58">
        <v>2</v>
      </c>
      <c r="D5" s="10"/>
      <c r="E5" s="10"/>
      <c r="F5" s="12"/>
      <c r="G5" s="11"/>
      <c r="H5" s="10"/>
      <c r="I5" s="13"/>
      <c r="J5" s="13"/>
      <c r="L5" s="91" t="s">
        <v>57</v>
      </c>
      <c r="M5" s="50" t="s">
        <v>42</v>
      </c>
      <c r="N5" s="92" t="s">
        <v>38</v>
      </c>
      <c r="O5" s="91">
        <v>2</v>
      </c>
      <c r="P5" s="7">
        <f t="shared" ref="P5:P11" si="0">Q5/1.25</f>
        <v>24</v>
      </c>
      <c r="Q5" s="7">
        <f t="shared" ref="Q5:Q11" si="1">O5*15</f>
        <v>30</v>
      </c>
      <c r="R5" s="89" t="s">
        <v>50</v>
      </c>
      <c r="S5" s="7">
        <f>COUNTIF(D$4:J$175,"BE1")</f>
        <v>0</v>
      </c>
      <c r="T5" s="7">
        <f t="shared" ref="T5:T9" si="2">P5-S5</f>
        <v>24</v>
      </c>
    </row>
    <row r="6" spans="1:20">
      <c r="A6" s="56">
        <v>45854</v>
      </c>
      <c r="B6" s="57"/>
      <c r="C6" s="58">
        <v>3</v>
      </c>
      <c r="D6" s="10"/>
      <c r="E6" s="13"/>
      <c r="F6" s="10"/>
      <c r="G6" s="11"/>
      <c r="H6" s="13"/>
      <c r="I6" s="13"/>
      <c r="J6" s="13"/>
      <c r="L6" s="91" t="s">
        <v>58</v>
      </c>
      <c r="M6" s="50" t="s">
        <v>43</v>
      </c>
      <c r="N6" s="92" t="s">
        <v>39</v>
      </c>
      <c r="O6" s="91">
        <v>3</v>
      </c>
      <c r="P6" s="7">
        <f t="shared" si="0"/>
        <v>36</v>
      </c>
      <c r="Q6" s="7">
        <f t="shared" si="1"/>
        <v>45</v>
      </c>
      <c r="R6" s="89" t="s">
        <v>51</v>
      </c>
      <c r="S6" s="7">
        <f>COUNTIF(D$4:J$175,"FAA")</f>
        <v>0</v>
      </c>
      <c r="T6" s="7">
        <f t="shared" si="2"/>
        <v>36</v>
      </c>
    </row>
    <row r="7" spans="1:20">
      <c r="A7" s="56">
        <v>45855</v>
      </c>
      <c r="B7" s="57"/>
      <c r="C7" s="58">
        <v>4</v>
      </c>
      <c r="D7" s="10"/>
      <c r="E7" s="10"/>
      <c r="F7" s="10"/>
      <c r="G7" s="14"/>
      <c r="H7" s="13"/>
      <c r="I7" s="13"/>
      <c r="J7" s="13"/>
      <c r="L7" s="91" t="s">
        <v>59</v>
      </c>
      <c r="M7" s="50" t="s">
        <v>44</v>
      </c>
      <c r="N7" s="92" t="s">
        <v>40</v>
      </c>
      <c r="O7" s="91">
        <v>2</v>
      </c>
      <c r="P7" s="7">
        <f t="shared" si="0"/>
        <v>24</v>
      </c>
      <c r="Q7" s="7">
        <f t="shared" si="1"/>
        <v>30</v>
      </c>
      <c r="R7" s="89" t="s">
        <v>52</v>
      </c>
      <c r="S7" s="7">
        <f>COUNTIF(D$4:J$175,"BM")</f>
        <v>0</v>
      </c>
      <c r="T7" s="7">
        <f t="shared" si="2"/>
        <v>24</v>
      </c>
    </row>
    <row r="8" spans="1:20">
      <c r="A8" s="56">
        <v>45856</v>
      </c>
      <c r="B8" s="57"/>
      <c r="C8" s="58">
        <v>5</v>
      </c>
      <c r="D8" s="13"/>
      <c r="E8" s="12"/>
      <c r="F8" s="16"/>
      <c r="G8" s="15"/>
      <c r="H8" s="13"/>
      <c r="I8" s="13"/>
      <c r="J8" s="13"/>
      <c r="L8" s="91" t="s">
        <v>60</v>
      </c>
      <c r="M8" s="50" t="s">
        <v>45</v>
      </c>
      <c r="N8" s="92" t="s">
        <v>41</v>
      </c>
      <c r="O8" s="91">
        <v>2</v>
      </c>
      <c r="P8" s="7">
        <f t="shared" si="0"/>
        <v>24</v>
      </c>
      <c r="Q8" s="7">
        <f t="shared" si="1"/>
        <v>30</v>
      </c>
      <c r="R8" s="94" t="s">
        <v>20</v>
      </c>
      <c r="S8" s="7">
        <f>COUNTIF(D$4:J$175,"SMDV")</f>
        <v>0</v>
      </c>
      <c r="T8" s="7">
        <f t="shared" si="2"/>
        <v>24</v>
      </c>
    </row>
    <row r="9" spans="1:20">
      <c r="A9" s="56">
        <v>45857</v>
      </c>
      <c r="B9" s="57"/>
      <c r="C9" s="58"/>
      <c r="D9" s="13"/>
      <c r="E9" s="16"/>
      <c r="F9" s="16"/>
      <c r="G9" s="11"/>
      <c r="H9" s="17"/>
      <c r="I9" s="17"/>
      <c r="J9" s="17"/>
      <c r="L9" s="91" t="s">
        <v>61</v>
      </c>
      <c r="M9" s="51" t="s">
        <v>64</v>
      </c>
      <c r="N9" s="92" t="s">
        <v>54</v>
      </c>
      <c r="O9" s="91">
        <v>2</v>
      </c>
      <c r="P9" s="7">
        <f t="shared" si="0"/>
        <v>24</v>
      </c>
      <c r="Q9" s="7">
        <f t="shared" si="1"/>
        <v>30</v>
      </c>
      <c r="R9" s="94" t="s">
        <v>20</v>
      </c>
      <c r="S9" s="7">
        <f>COUNTIF(D$4:J$175,"FC")</f>
        <v>0</v>
      </c>
      <c r="T9" s="7">
        <f t="shared" si="2"/>
        <v>24</v>
      </c>
    </row>
    <row r="10" spans="1:20">
      <c r="A10" s="59">
        <v>45858</v>
      </c>
      <c r="B10" s="60"/>
      <c r="C10" s="61"/>
      <c r="D10" s="18"/>
      <c r="E10" s="18"/>
      <c r="F10" s="19"/>
      <c r="G10" s="11"/>
      <c r="H10" s="19"/>
      <c r="I10" s="18"/>
      <c r="J10" s="20"/>
      <c r="L10" s="91" t="s">
        <v>62</v>
      </c>
      <c r="M10" s="7" t="s">
        <v>65</v>
      </c>
      <c r="N10" s="92" t="s">
        <v>55</v>
      </c>
      <c r="O10" s="91">
        <v>2</v>
      </c>
      <c r="P10" s="7">
        <f t="shared" si="0"/>
        <v>24</v>
      </c>
      <c r="Q10" s="7">
        <f t="shared" si="1"/>
        <v>30</v>
      </c>
      <c r="R10" s="54" t="s">
        <v>20</v>
      </c>
      <c r="S10" s="7">
        <f>COUNTIF(D$4:J$175,"USS")</f>
        <v>0</v>
      </c>
      <c r="T10" s="7">
        <f t="shared" ref="T10:T11" si="3">P10-S10</f>
        <v>24</v>
      </c>
    </row>
    <row r="11" spans="1:20">
      <c r="A11" s="56">
        <v>45859</v>
      </c>
      <c r="B11" s="57"/>
      <c r="C11" s="58">
        <v>6</v>
      </c>
      <c r="D11" s="13"/>
      <c r="E11" s="16"/>
      <c r="F11" s="12"/>
      <c r="G11" s="11"/>
      <c r="H11" s="13"/>
      <c r="I11" s="13"/>
      <c r="J11" s="10"/>
      <c r="L11" s="91" t="s">
        <v>63</v>
      </c>
      <c r="M11" s="51" t="s">
        <v>47</v>
      </c>
      <c r="N11" s="89" t="s">
        <v>46</v>
      </c>
      <c r="O11" s="90">
        <v>2</v>
      </c>
      <c r="P11" s="7">
        <f t="shared" si="0"/>
        <v>24</v>
      </c>
      <c r="Q11" s="7">
        <f t="shared" si="1"/>
        <v>30</v>
      </c>
      <c r="R11" s="52" t="s">
        <v>48</v>
      </c>
      <c r="S11" s="7">
        <f>COUNTIF(D$4:J$175,"CC")</f>
        <v>0</v>
      </c>
      <c r="T11" s="7">
        <f t="shared" si="3"/>
        <v>24</v>
      </c>
    </row>
    <row r="12" spans="1:20" ht="15.75">
      <c r="A12" s="56">
        <v>45860</v>
      </c>
      <c r="B12" s="62"/>
      <c r="C12" s="58">
        <v>7</v>
      </c>
      <c r="D12" s="10"/>
      <c r="E12" s="10"/>
      <c r="F12" s="12"/>
      <c r="G12" s="11"/>
      <c r="H12" s="10"/>
      <c r="I12" s="13"/>
      <c r="J12" s="13"/>
      <c r="L12" s="47"/>
      <c r="M12" s="43"/>
      <c r="N12" s="47"/>
      <c r="O12" s="53">
        <f>SUM(O4:O11)</f>
        <v>18</v>
      </c>
      <c r="P12" s="53">
        <f>SUM(P4:P11)</f>
        <v>216</v>
      </c>
      <c r="Q12" s="53">
        <f>SUM(Q4:Q11)</f>
        <v>270</v>
      </c>
      <c r="R12" s="54"/>
      <c r="S12" s="53">
        <f>SUM(S4:S11)</f>
        <v>0</v>
      </c>
      <c r="T12" s="53">
        <f>SUM(T4:T11)</f>
        <v>216</v>
      </c>
    </row>
    <row r="13" spans="1:20" ht="15.75">
      <c r="A13" s="56">
        <v>45861</v>
      </c>
      <c r="B13" s="57"/>
      <c r="C13" s="58">
        <v>8</v>
      </c>
      <c r="D13" s="13"/>
      <c r="E13" s="13"/>
      <c r="F13" s="10"/>
      <c r="G13" s="11"/>
      <c r="H13" s="10"/>
      <c r="I13" s="13"/>
      <c r="J13" s="13"/>
      <c r="N13" s="47"/>
      <c r="P13" s="1"/>
      <c r="Q13" s="1"/>
      <c r="R13" s="23"/>
      <c r="S13" s="1"/>
      <c r="T13" s="1"/>
    </row>
    <row r="14" spans="1:20">
      <c r="A14" s="56">
        <v>45862</v>
      </c>
      <c r="B14" s="57"/>
      <c r="C14" s="58">
        <v>9</v>
      </c>
      <c r="D14" s="10"/>
      <c r="E14" s="10"/>
      <c r="F14" s="10"/>
      <c r="G14" s="14"/>
      <c r="H14" s="13"/>
      <c r="I14" s="13"/>
      <c r="J14" s="13"/>
      <c r="L14" s="24"/>
      <c r="Q14" s="1"/>
      <c r="R14" s="25"/>
      <c r="S14" s="1"/>
      <c r="T14" s="1"/>
    </row>
    <row r="15" spans="1:20">
      <c r="A15" s="56">
        <v>45863</v>
      </c>
      <c r="B15" s="57"/>
      <c r="C15" s="58">
        <v>10</v>
      </c>
      <c r="D15" s="13"/>
      <c r="E15" s="12"/>
      <c r="F15" s="16"/>
      <c r="G15" s="15"/>
      <c r="H15" s="13"/>
      <c r="I15" s="13"/>
      <c r="J15" s="13"/>
      <c r="L15" s="24"/>
      <c r="Q15" s="1"/>
      <c r="R15" s="26"/>
      <c r="S15" s="1"/>
      <c r="T15" s="1"/>
    </row>
    <row r="16" spans="1:20">
      <c r="A16" s="56">
        <v>45864</v>
      </c>
      <c r="B16" s="57"/>
      <c r="C16" s="58"/>
      <c r="D16" s="13"/>
      <c r="E16" s="16"/>
      <c r="F16" s="16"/>
      <c r="G16" s="11"/>
      <c r="H16" s="17"/>
      <c r="I16" s="17"/>
      <c r="J16" s="17"/>
      <c r="L16" s="26"/>
      <c r="Q16" s="1"/>
      <c r="R16" s="26"/>
      <c r="S16" s="1"/>
      <c r="T16" s="1"/>
    </row>
    <row r="17" spans="1:20">
      <c r="A17" s="59">
        <v>45865</v>
      </c>
      <c r="B17" s="60"/>
      <c r="C17" s="61"/>
      <c r="D17" s="18"/>
      <c r="E17" s="18"/>
      <c r="F17" s="19"/>
      <c r="G17" s="11"/>
      <c r="H17" s="19"/>
      <c r="I17" s="18"/>
      <c r="J17" s="20"/>
      <c r="L17" s="27"/>
      <c r="Q17" s="1"/>
      <c r="R17" s="27"/>
      <c r="S17" s="1"/>
      <c r="T17" s="1"/>
    </row>
    <row r="18" spans="1:20">
      <c r="A18" s="56">
        <v>45866</v>
      </c>
      <c r="B18" s="57"/>
      <c r="C18" s="58">
        <v>11</v>
      </c>
      <c r="D18" s="13"/>
      <c r="E18" s="16"/>
      <c r="F18" s="13"/>
      <c r="G18" s="11"/>
      <c r="H18" s="13"/>
      <c r="I18" s="13"/>
      <c r="J18" s="10"/>
      <c r="L18" s="27"/>
      <c r="Q18" s="1"/>
      <c r="R18" s="27"/>
      <c r="S18" s="1"/>
      <c r="T18" s="1"/>
    </row>
    <row r="19" spans="1:20">
      <c r="A19" s="56">
        <v>45867</v>
      </c>
      <c r="B19" s="57"/>
      <c r="C19" s="58">
        <v>12</v>
      </c>
      <c r="D19" s="10"/>
      <c r="E19" s="10"/>
      <c r="F19" s="12"/>
      <c r="G19" s="11"/>
      <c r="H19" s="10"/>
      <c r="I19" s="13"/>
      <c r="J19" s="13"/>
      <c r="L19" s="44"/>
      <c r="M19" s="44"/>
      <c r="N19" s="44"/>
      <c r="O19" s="44"/>
      <c r="Q19" s="1"/>
      <c r="R19" s="27"/>
      <c r="S19" s="1"/>
      <c r="T19" s="1"/>
    </row>
    <row r="20" spans="1:20">
      <c r="A20" s="56">
        <v>45868</v>
      </c>
      <c r="B20" s="57"/>
      <c r="C20" s="58">
        <v>13</v>
      </c>
      <c r="D20" s="13"/>
      <c r="E20" s="13"/>
      <c r="F20" s="10"/>
      <c r="G20" s="11"/>
      <c r="H20" s="10"/>
      <c r="I20" s="13"/>
      <c r="J20" s="13"/>
      <c r="L20" s="44"/>
      <c r="M20" s="44"/>
      <c r="N20" s="44"/>
      <c r="O20" s="44"/>
      <c r="Q20" s="1"/>
      <c r="R20" s="27"/>
      <c r="S20" s="1"/>
      <c r="T20" s="1"/>
    </row>
    <row r="21" spans="1:20">
      <c r="A21" s="56">
        <v>45869</v>
      </c>
      <c r="B21" s="57"/>
      <c r="C21" s="58">
        <v>14</v>
      </c>
      <c r="D21" s="10"/>
      <c r="E21" s="10"/>
      <c r="F21" s="10"/>
      <c r="G21" s="14"/>
      <c r="H21" s="13"/>
      <c r="I21" s="13"/>
      <c r="J21" s="13"/>
      <c r="L21" s="44"/>
      <c r="M21" s="44"/>
      <c r="N21" s="44"/>
      <c r="O21" s="44"/>
      <c r="Q21" s="1"/>
      <c r="S21" s="1"/>
      <c r="T21" s="1"/>
    </row>
    <row r="22" spans="1:20">
      <c r="A22" s="56">
        <v>45870</v>
      </c>
      <c r="B22" s="57"/>
      <c r="C22" s="58">
        <v>15</v>
      </c>
      <c r="D22" s="13"/>
      <c r="E22" s="12"/>
      <c r="F22" s="12"/>
      <c r="G22" s="15"/>
      <c r="H22" s="13"/>
      <c r="I22" s="13"/>
      <c r="J22" s="13"/>
      <c r="L22" s="44"/>
      <c r="M22" s="44"/>
      <c r="N22" s="44"/>
      <c r="O22" s="44"/>
    </row>
    <row r="23" spans="1:20">
      <c r="A23" s="56">
        <v>45871</v>
      </c>
      <c r="B23" s="57"/>
      <c r="C23" s="58"/>
      <c r="D23" s="13"/>
      <c r="E23" s="13"/>
      <c r="F23" s="13"/>
      <c r="G23" s="11"/>
      <c r="H23" s="17"/>
      <c r="I23" s="17"/>
      <c r="J23" s="17"/>
      <c r="L23" s="44"/>
      <c r="M23" s="44"/>
      <c r="N23" s="44"/>
      <c r="O23" s="44"/>
    </row>
    <row r="24" spans="1:20">
      <c r="A24" s="59">
        <v>45872</v>
      </c>
      <c r="B24" s="63"/>
      <c r="C24" s="61"/>
      <c r="D24" s="18"/>
      <c r="E24" s="18"/>
      <c r="F24" s="19"/>
      <c r="G24" s="11"/>
      <c r="H24" s="19"/>
      <c r="I24" s="18"/>
      <c r="J24" s="20"/>
      <c r="N24" s="44"/>
      <c r="O24" s="44"/>
      <c r="P24" s="1"/>
      <c r="S24" s="8"/>
      <c r="T24" s="8"/>
    </row>
    <row r="25" spans="1:20">
      <c r="A25" s="56">
        <v>45873</v>
      </c>
      <c r="B25" s="57"/>
      <c r="C25" s="58">
        <v>16</v>
      </c>
      <c r="D25" s="13"/>
      <c r="E25" s="16"/>
      <c r="F25" s="12"/>
      <c r="G25" s="11"/>
      <c r="H25" s="13"/>
      <c r="I25" s="13"/>
      <c r="J25" s="13"/>
      <c r="L25" s="45"/>
      <c r="M25" s="46"/>
      <c r="N25" s="44"/>
      <c r="O25" s="44"/>
    </row>
    <row r="26" spans="1:20">
      <c r="A26" s="56">
        <v>45874</v>
      </c>
      <c r="B26" s="57"/>
      <c r="C26" s="58">
        <v>17</v>
      </c>
      <c r="D26" s="10"/>
      <c r="E26" s="10"/>
      <c r="F26" s="12"/>
      <c r="G26" s="11"/>
      <c r="H26" s="10"/>
      <c r="I26" s="13"/>
      <c r="J26" s="13"/>
      <c r="O26" s="5"/>
      <c r="P26" s="1"/>
      <c r="Q26" s="1"/>
    </row>
    <row r="27" spans="1:20">
      <c r="A27" s="56">
        <v>45875</v>
      </c>
      <c r="B27" s="57"/>
      <c r="C27" s="58">
        <v>18</v>
      </c>
      <c r="D27" s="10"/>
      <c r="E27" s="13"/>
      <c r="F27" s="13"/>
      <c r="G27" s="11"/>
      <c r="H27" s="13"/>
      <c r="I27" s="13"/>
      <c r="J27" s="13"/>
      <c r="N27" s="28"/>
      <c r="O27" s="5"/>
    </row>
    <row r="28" spans="1:20">
      <c r="A28" s="56">
        <v>45876</v>
      </c>
      <c r="B28" s="57"/>
      <c r="C28" s="58">
        <v>19</v>
      </c>
      <c r="D28" s="10"/>
      <c r="E28" s="10"/>
      <c r="F28" s="10"/>
      <c r="G28" s="14"/>
      <c r="H28" s="13"/>
      <c r="I28" s="13"/>
      <c r="J28" s="13"/>
      <c r="N28" s="28"/>
    </row>
    <row r="29" spans="1:20">
      <c r="A29" s="56">
        <v>45877</v>
      </c>
      <c r="B29" s="57"/>
      <c r="C29" s="64">
        <v>20</v>
      </c>
      <c r="D29" s="13"/>
      <c r="E29" s="12"/>
      <c r="F29" s="16"/>
      <c r="G29" s="15"/>
      <c r="H29" s="13"/>
      <c r="I29" s="13"/>
      <c r="J29" s="13"/>
      <c r="N29" s="28"/>
    </row>
    <row r="30" spans="1:20">
      <c r="A30" s="65">
        <v>45878</v>
      </c>
      <c r="B30" s="66" t="s">
        <v>22</v>
      </c>
      <c r="C30" s="67"/>
      <c r="D30" s="68"/>
      <c r="E30" s="69"/>
      <c r="F30" s="69"/>
      <c r="G30" s="11"/>
      <c r="H30" s="70"/>
      <c r="I30" s="70"/>
      <c r="J30" s="70"/>
      <c r="N30" s="28"/>
    </row>
    <row r="31" spans="1:20">
      <c r="A31" s="59">
        <v>45879</v>
      </c>
      <c r="B31" s="60"/>
      <c r="C31" s="61"/>
      <c r="D31" s="20"/>
      <c r="E31" s="18"/>
      <c r="F31" s="19"/>
      <c r="G31" s="11"/>
      <c r="H31" s="19"/>
      <c r="I31" s="20"/>
      <c r="J31" s="20"/>
      <c r="N31" s="28"/>
    </row>
    <row r="32" spans="1:20">
      <c r="A32" s="56">
        <v>45880</v>
      </c>
      <c r="B32" s="57"/>
      <c r="C32" s="58">
        <v>21</v>
      </c>
      <c r="D32" s="13"/>
      <c r="E32" s="16"/>
      <c r="F32" s="12"/>
      <c r="G32" s="11"/>
      <c r="H32" s="13"/>
      <c r="I32" s="13"/>
      <c r="J32" s="13"/>
      <c r="N32" s="29"/>
    </row>
    <row r="33" spans="1:20">
      <c r="A33" s="56">
        <v>45881</v>
      </c>
      <c r="B33" s="57"/>
      <c r="C33" s="58">
        <v>22</v>
      </c>
      <c r="D33" s="10"/>
      <c r="E33" s="13"/>
      <c r="F33" s="10"/>
      <c r="G33" s="11"/>
      <c r="H33" s="10"/>
      <c r="I33" s="13"/>
      <c r="J33" s="13"/>
      <c r="N33" s="28"/>
    </row>
    <row r="34" spans="1:20">
      <c r="A34" s="56">
        <v>45882</v>
      </c>
      <c r="B34" s="57"/>
      <c r="C34" s="58">
        <v>23</v>
      </c>
      <c r="D34" s="10"/>
      <c r="E34" s="13"/>
      <c r="F34" s="13"/>
      <c r="G34" s="11"/>
      <c r="H34" s="13"/>
      <c r="I34" s="13"/>
      <c r="J34" s="13"/>
      <c r="N34" s="28"/>
      <c r="O34" s="5"/>
      <c r="R34" s="1"/>
      <c r="S34" s="1"/>
      <c r="T34" s="1"/>
    </row>
    <row r="35" spans="1:20">
      <c r="A35" s="56">
        <v>45883</v>
      </c>
      <c r="B35" s="57"/>
      <c r="C35" s="58">
        <v>24</v>
      </c>
      <c r="D35" s="10"/>
      <c r="E35" s="10"/>
      <c r="F35" s="10"/>
      <c r="G35" s="14"/>
      <c r="H35" s="13"/>
      <c r="I35" s="13"/>
      <c r="J35" s="13"/>
      <c r="N35" s="28"/>
      <c r="O35" s="5"/>
      <c r="Q35" s="1"/>
      <c r="S35" s="1"/>
      <c r="T35" s="1"/>
    </row>
    <row r="36" spans="1:20">
      <c r="A36" s="59">
        <v>45884</v>
      </c>
      <c r="B36" s="60"/>
      <c r="C36" s="61" t="s">
        <v>23</v>
      </c>
      <c r="D36" s="20"/>
      <c r="E36" s="18"/>
      <c r="F36" s="19"/>
      <c r="G36" s="15"/>
      <c r="H36" s="20"/>
      <c r="I36" s="20"/>
      <c r="J36" s="20"/>
      <c r="N36" s="28"/>
      <c r="O36" s="5"/>
      <c r="Q36" s="1"/>
      <c r="S36" s="1"/>
      <c r="T36" s="1"/>
    </row>
    <row r="37" spans="1:20">
      <c r="A37" s="56">
        <v>45885</v>
      </c>
      <c r="B37" s="57"/>
      <c r="C37" s="58"/>
      <c r="D37" s="13"/>
      <c r="E37" s="16"/>
      <c r="F37" s="12"/>
      <c r="G37" s="11"/>
      <c r="H37" s="13"/>
      <c r="I37" s="13"/>
      <c r="J37" s="13"/>
      <c r="N37" s="28"/>
      <c r="O37" s="5"/>
      <c r="Q37" s="1"/>
      <c r="S37" s="1"/>
      <c r="T37" s="1"/>
    </row>
    <row r="38" spans="1:20">
      <c r="A38" s="59">
        <v>45886</v>
      </c>
      <c r="B38" s="60"/>
      <c r="C38" s="61"/>
      <c r="D38" s="18"/>
      <c r="E38" s="18"/>
      <c r="F38" s="19"/>
      <c r="G38" s="11"/>
      <c r="H38" s="19"/>
      <c r="I38" s="18"/>
      <c r="J38" s="20"/>
      <c r="N38" s="28"/>
      <c r="O38" s="5"/>
      <c r="Q38" s="1"/>
      <c r="S38" s="1"/>
      <c r="T38" s="1"/>
    </row>
    <row r="39" spans="1:20">
      <c r="A39" s="56">
        <v>45887</v>
      </c>
      <c r="B39" s="57"/>
      <c r="C39" s="58">
        <v>25</v>
      </c>
      <c r="D39" s="13"/>
      <c r="E39" s="13"/>
      <c r="F39" s="16"/>
      <c r="G39" s="11"/>
      <c r="H39" s="13"/>
      <c r="I39" s="13"/>
      <c r="J39" s="13"/>
      <c r="N39" s="28"/>
      <c r="O39" s="5"/>
      <c r="Q39" s="1"/>
      <c r="S39" s="1"/>
      <c r="T39" s="1"/>
    </row>
    <row r="40" spans="1:20">
      <c r="A40" s="56">
        <v>45888</v>
      </c>
      <c r="B40" s="57"/>
      <c r="C40" s="58">
        <v>26</v>
      </c>
      <c r="D40" s="10"/>
      <c r="E40" s="13"/>
      <c r="F40" s="10"/>
      <c r="G40" s="11"/>
      <c r="H40" s="10"/>
      <c r="I40" s="13"/>
      <c r="J40" s="13"/>
      <c r="N40" s="28"/>
      <c r="O40" s="5"/>
      <c r="Q40" s="1"/>
      <c r="S40" s="1"/>
      <c r="T40" s="1"/>
    </row>
    <row r="41" spans="1:20">
      <c r="A41" s="56">
        <v>45889</v>
      </c>
      <c r="B41" s="57"/>
      <c r="C41" s="58">
        <v>27</v>
      </c>
      <c r="D41" s="10"/>
      <c r="E41" s="13"/>
      <c r="F41" s="13"/>
      <c r="G41" s="11"/>
      <c r="H41" s="13"/>
      <c r="I41" s="13"/>
      <c r="J41" s="13"/>
      <c r="N41" s="28"/>
      <c r="O41" s="5"/>
      <c r="Q41" s="1"/>
      <c r="S41" s="1"/>
      <c r="T41" s="1"/>
    </row>
    <row r="42" spans="1:20">
      <c r="A42" s="56">
        <v>45890</v>
      </c>
      <c r="B42" s="57"/>
      <c r="C42" s="58">
        <v>28</v>
      </c>
      <c r="D42" s="10"/>
      <c r="E42" s="10"/>
      <c r="F42" s="10"/>
      <c r="G42" s="14"/>
      <c r="H42" s="13"/>
      <c r="I42" s="13"/>
      <c r="J42" s="13"/>
      <c r="N42" s="28"/>
      <c r="O42" s="5"/>
      <c r="P42" s="1"/>
      <c r="Q42" s="1"/>
      <c r="R42" s="28"/>
      <c r="S42" s="1"/>
      <c r="T42" s="1"/>
    </row>
    <row r="43" spans="1:20">
      <c r="A43" s="56">
        <v>45891</v>
      </c>
      <c r="B43" s="57"/>
      <c r="C43" s="58">
        <v>29</v>
      </c>
      <c r="D43" s="13"/>
      <c r="E43" s="12"/>
      <c r="F43" s="16"/>
      <c r="G43" s="15"/>
      <c r="H43" s="13"/>
      <c r="I43" s="13"/>
      <c r="J43" s="13"/>
      <c r="N43" s="28"/>
      <c r="O43" s="5"/>
      <c r="P43" s="1"/>
      <c r="Q43" s="1"/>
      <c r="R43" s="1"/>
      <c r="S43" s="1"/>
      <c r="T43" s="1"/>
    </row>
    <row r="44" spans="1:20">
      <c r="A44" s="56">
        <v>45892</v>
      </c>
      <c r="B44" s="57"/>
      <c r="C44" s="58"/>
      <c r="D44" s="13"/>
      <c r="E44" s="16"/>
      <c r="F44" s="12"/>
      <c r="G44" s="11"/>
      <c r="H44" s="13"/>
      <c r="I44" s="13"/>
      <c r="J44" s="13"/>
      <c r="N44" s="28"/>
      <c r="O44" s="5"/>
      <c r="P44" s="1"/>
      <c r="Q44" s="1"/>
      <c r="R44" s="3"/>
      <c r="S44" s="1"/>
      <c r="T44" s="1"/>
    </row>
    <row r="45" spans="1:20">
      <c r="A45" s="59">
        <v>45893</v>
      </c>
      <c r="B45" s="60"/>
      <c r="C45" s="61"/>
      <c r="D45" s="19"/>
      <c r="E45" s="19"/>
      <c r="F45" s="18"/>
      <c r="G45" s="11"/>
      <c r="H45" s="20"/>
      <c r="I45" s="18"/>
      <c r="J45" s="20"/>
      <c r="N45" s="28"/>
      <c r="O45" s="5"/>
      <c r="P45" s="1"/>
      <c r="Q45" s="1"/>
      <c r="R45" s="1"/>
      <c r="S45" s="1"/>
      <c r="T45" s="1"/>
    </row>
    <row r="46" spans="1:20">
      <c r="A46" s="56">
        <v>45894</v>
      </c>
      <c r="B46" s="57"/>
      <c r="C46" s="58">
        <v>30</v>
      </c>
      <c r="D46" s="13"/>
      <c r="E46" s="13"/>
      <c r="F46" s="16"/>
      <c r="G46" s="11"/>
      <c r="H46" s="13"/>
      <c r="I46" s="13"/>
      <c r="J46" s="13"/>
      <c r="N46" s="28"/>
      <c r="O46" s="5"/>
      <c r="P46" s="1"/>
      <c r="Q46" s="1"/>
      <c r="R46" s="1"/>
      <c r="S46" s="1"/>
      <c r="T46" s="1"/>
    </row>
    <row r="47" spans="1:20">
      <c r="A47" s="56">
        <v>45895</v>
      </c>
      <c r="B47" s="57"/>
      <c r="C47" s="58">
        <v>31</v>
      </c>
      <c r="D47" s="10"/>
      <c r="E47" s="13"/>
      <c r="F47" s="16"/>
      <c r="G47" s="11"/>
      <c r="H47" s="10"/>
      <c r="I47" s="13"/>
      <c r="J47" s="13"/>
      <c r="N47" s="28"/>
      <c r="O47" s="5"/>
      <c r="P47" s="1"/>
      <c r="Q47" s="1"/>
      <c r="R47" s="1"/>
      <c r="S47" s="1"/>
      <c r="T47" s="1"/>
    </row>
    <row r="48" spans="1:20">
      <c r="A48" s="56">
        <v>45896</v>
      </c>
      <c r="B48" s="57"/>
      <c r="C48" s="58">
        <v>32</v>
      </c>
      <c r="D48" s="10"/>
      <c r="E48" s="13"/>
      <c r="F48" s="13"/>
      <c r="G48" s="11"/>
      <c r="H48" s="13"/>
      <c r="I48" s="13"/>
      <c r="J48" s="13"/>
      <c r="N48" s="28"/>
      <c r="O48" s="5"/>
      <c r="P48" s="1"/>
      <c r="Q48" s="1"/>
      <c r="R48" s="1"/>
      <c r="S48" s="1"/>
      <c r="T48" s="1"/>
    </row>
    <row r="49" spans="1:20">
      <c r="A49" s="56">
        <v>45897</v>
      </c>
      <c r="B49" s="57"/>
      <c r="C49" s="58">
        <v>33</v>
      </c>
      <c r="D49" s="10"/>
      <c r="E49" s="10"/>
      <c r="F49" s="10"/>
      <c r="G49" s="14"/>
      <c r="H49" s="13"/>
      <c r="I49" s="13"/>
      <c r="J49" s="13"/>
      <c r="N49" s="28"/>
      <c r="O49" s="5"/>
      <c r="P49" s="1"/>
      <c r="Q49" s="1"/>
      <c r="R49" s="1"/>
      <c r="S49" s="1"/>
      <c r="T49" s="1"/>
    </row>
    <row r="50" spans="1:20">
      <c r="A50" s="56">
        <v>45898</v>
      </c>
      <c r="B50" s="57"/>
      <c r="C50" s="58">
        <v>34</v>
      </c>
      <c r="D50" s="13"/>
      <c r="E50" s="12"/>
      <c r="F50" s="16"/>
      <c r="G50" s="15"/>
      <c r="H50" s="13"/>
      <c r="I50" s="13"/>
      <c r="J50" s="13"/>
      <c r="N50" s="28"/>
      <c r="O50" s="5"/>
      <c r="P50" s="1"/>
      <c r="Q50" s="1"/>
      <c r="R50" s="1"/>
      <c r="S50" s="1"/>
      <c r="T50" s="1"/>
    </row>
    <row r="51" spans="1:20">
      <c r="A51" s="56">
        <v>45899</v>
      </c>
      <c r="B51" s="57"/>
      <c r="C51" s="64"/>
      <c r="D51" s="13"/>
      <c r="E51" s="16"/>
      <c r="F51" s="12"/>
      <c r="G51" s="11"/>
      <c r="H51" s="13"/>
      <c r="I51" s="13"/>
      <c r="J51" s="13"/>
      <c r="N51" s="28"/>
      <c r="O51" s="5"/>
      <c r="P51" s="1"/>
      <c r="Q51" s="1"/>
      <c r="R51" s="1"/>
      <c r="S51" s="1"/>
      <c r="T51" s="1"/>
    </row>
    <row r="52" spans="1:20">
      <c r="A52" s="59">
        <v>45900</v>
      </c>
      <c r="B52" s="60"/>
      <c r="C52" s="61"/>
      <c r="D52" s="18"/>
      <c r="E52" s="18"/>
      <c r="F52" s="19"/>
      <c r="G52" s="11"/>
      <c r="H52" s="19"/>
      <c r="I52" s="20"/>
      <c r="J52" s="20"/>
      <c r="L52" s="1"/>
      <c r="M52" s="1"/>
      <c r="O52" s="5"/>
      <c r="P52" s="1"/>
      <c r="Q52" s="1"/>
      <c r="R52" s="1"/>
      <c r="S52" s="1"/>
      <c r="T52" s="1"/>
    </row>
    <row r="53" spans="1:20">
      <c r="A53" s="56">
        <v>45901</v>
      </c>
      <c r="B53" s="57"/>
      <c r="C53" s="58">
        <v>35</v>
      </c>
      <c r="D53" s="13"/>
      <c r="E53" s="13"/>
      <c r="F53" s="16"/>
      <c r="G53" s="11"/>
      <c r="H53" s="13"/>
      <c r="I53" s="13"/>
      <c r="J53" s="13"/>
      <c r="L53" s="1"/>
      <c r="M53" s="1"/>
      <c r="O53" s="5"/>
      <c r="P53" s="1"/>
      <c r="Q53" s="1"/>
      <c r="R53" s="1"/>
      <c r="S53" s="1"/>
      <c r="T53" s="1"/>
    </row>
    <row r="54" spans="1:20">
      <c r="A54" s="56">
        <v>45902</v>
      </c>
      <c r="B54" s="57"/>
      <c r="C54" s="58">
        <v>36</v>
      </c>
      <c r="D54" s="10"/>
      <c r="E54" s="13"/>
      <c r="F54" s="10"/>
      <c r="G54" s="11"/>
      <c r="H54" s="10"/>
      <c r="I54" s="13"/>
      <c r="J54" s="13"/>
      <c r="L54" s="28"/>
      <c r="M54" s="28"/>
      <c r="O54" s="5"/>
      <c r="P54" s="1"/>
      <c r="Q54" s="1"/>
      <c r="R54" s="1"/>
      <c r="S54" s="1"/>
      <c r="T54" s="1"/>
    </row>
    <row r="55" spans="1:20">
      <c r="A55" s="56">
        <v>45903</v>
      </c>
      <c r="B55" s="62"/>
      <c r="C55" s="58">
        <v>37</v>
      </c>
      <c r="D55" s="10"/>
      <c r="E55" s="13"/>
      <c r="F55" s="10"/>
      <c r="G55" s="11"/>
      <c r="H55" s="13"/>
      <c r="I55" s="13"/>
      <c r="J55" s="13"/>
      <c r="N55" s="28"/>
      <c r="O55" s="5"/>
      <c r="P55" s="1"/>
      <c r="Q55" s="1"/>
      <c r="R55" s="1"/>
      <c r="S55" s="1"/>
      <c r="T55" s="1"/>
    </row>
    <row r="56" spans="1:20">
      <c r="A56" s="56">
        <v>45904</v>
      </c>
      <c r="B56" s="57"/>
      <c r="C56" s="58">
        <v>38</v>
      </c>
      <c r="D56" s="10"/>
      <c r="E56" s="10"/>
      <c r="F56" s="10"/>
      <c r="G56" s="14"/>
      <c r="H56" s="13"/>
      <c r="I56" s="13"/>
      <c r="J56" s="13"/>
      <c r="N56" s="1"/>
      <c r="O56" s="5"/>
      <c r="P56" s="1"/>
      <c r="Q56" s="1"/>
      <c r="R56" s="1"/>
      <c r="S56" s="1"/>
      <c r="T56" s="1"/>
    </row>
    <row r="57" spans="1:20">
      <c r="A57" s="56">
        <v>45905</v>
      </c>
      <c r="B57" s="57"/>
      <c r="C57" s="58">
        <v>39</v>
      </c>
      <c r="D57" s="13"/>
      <c r="E57" s="12"/>
      <c r="F57" s="16"/>
      <c r="G57" s="15"/>
      <c r="H57" s="13"/>
      <c r="I57" s="13"/>
      <c r="J57" s="13"/>
      <c r="N57" s="1"/>
      <c r="O57" s="5"/>
      <c r="P57" s="1"/>
      <c r="Q57" s="1"/>
      <c r="R57" s="1"/>
      <c r="S57" s="1"/>
      <c r="T57" s="1"/>
    </row>
    <row r="58" spans="1:20">
      <c r="A58" s="56">
        <v>45906</v>
      </c>
      <c r="B58" s="57"/>
      <c r="C58" s="58"/>
      <c r="D58" s="13"/>
      <c r="E58" s="16"/>
      <c r="F58" s="16"/>
      <c r="G58" s="11"/>
      <c r="H58" s="17"/>
      <c r="I58" s="17"/>
      <c r="J58" s="17"/>
      <c r="N58" s="1"/>
      <c r="O58" s="5"/>
      <c r="P58" s="1"/>
      <c r="Q58" s="1"/>
      <c r="R58" s="1"/>
      <c r="S58" s="1"/>
      <c r="T58" s="1"/>
    </row>
    <row r="59" spans="1:20">
      <c r="A59" s="59">
        <v>45907</v>
      </c>
      <c r="B59" s="60"/>
      <c r="C59" s="61"/>
      <c r="D59" s="18"/>
      <c r="E59" s="18"/>
      <c r="F59" s="19"/>
      <c r="G59" s="11"/>
      <c r="H59" s="19"/>
      <c r="I59" s="20"/>
      <c r="J59" s="20"/>
      <c r="N59" s="1"/>
      <c r="O59" s="5"/>
      <c r="P59" s="1"/>
      <c r="Q59" s="1"/>
      <c r="R59" s="1"/>
      <c r="S59" s="1"/>
      <c r="T59" s="1"/>
    </row>
    <row r="60" spans="1:20">
      <c r="A60" s="56">
        <v>45908</v>
      </c>
      <c r="B60" s="57"/>
      <c r="C60" s="58">
        <v>40</v>
      </c>
      <c r="D60" s="13"/>
      <c r="E60" s="16"/>
      <c r="F60" s="13"/>
      <c r="G60" s="11"/>
      <c r="H60" s="13"/>
      <c r="I60" s="13"/>
      <c r="J60" s="13"/>
      <c r="N60" s="28"/>
      <c r="O60" s="5"/>
      <c r="P60" s="1"/>
      <c r="Q60" s="1"/>
      <c r="R60" s="1"/>
      <c r="S60" s="1"/>
      <c r="T60" s="1"/>
    </row>
    <row r="61" spans="1:20">
      <c r="A61" s="56">
        <v>45909</v>
      </c>
      <c r="B61" s="57"/>
      <c r="C61" s="58">
        <v>41</v>
      </c>
      <c r="D61" s="10"/>
      <c r="E61" s="13"/>
      <c r="F61" s="10"/>
      <c r="G61" s="11"/>
      <c r="H61" s="10"/>
      <c r="I61" s="13"/>
      <c r="J61" s="13"/>
      <c r="N61" s="1"/>
      <c r="O61" s="5"/>
      <c r="P61" s="1"/>
      <c r="Q61" s="1"/>
      <c r="R61" s="1"/>
      <c r="S61" s="1"/>
      <c r="T61" s="1"/>
    </row>
    <row r="62" spans="1:20">
      <c r="A62" s="56">
        <v>45910</v>
      </c>
      <c r="B62" s="57"/>
      <c r="C62" s="58">
        <v>42</v>
      </c>
      <c r="D62" s="10"/>
      <c r="E62" s="13"/>
      <c r="F62" s="13"/>
      <c r="G62" s="11"/>
      <c r="H62" s="13"/>
      <c r="I62" s="13"/>
      <c r="J62" s="13"/>
      <c r="N62" s="1"/>
      <c r="O62" s="5"/>
      <c r="P62" s="1"/>
      <c r="Q62" s="1"/>
      <c r="R62" s="1"/>
      <c r="S62" s="1"/>
      <c r="T62" s="1"/>
    </row>
    <row r="63" spans="1:20">
      <c r="A63" s="56">
        <v>45911</v>
      </c>
      <c r="B63" s="57"/>
      <c r="C63" s="58">
        <v>43</v>
      </c>
      <c r="D63" s="10"/>
      <c r="E63" s="10"/>
      <c r="F63" s="10"/>
      <c r="G63" s="14"/>
      <c r="H63" s="13"/>
      <c r="I63" s="13"/>
      <c r="J63" s="13"/>
      <c r="N63" s="28"/>
      <c r="O63" s="5"/>
      <c r="P63" s="1"/>
      <c r="Q63" s="1"/>
      <c r="R63" s="1"/>
      <c r="S63" s="1"/>
      <c r="T63" s="1"/>
    </row>
    <row r="64" spans="1:20">
      <c r="A64" s="56">
        <v>45912</v>
      </c>
      <c r="B64" s="57"/>
      <c r="C64" s="58">
        <v>44</v>
      </c>
      <c r="D64" s="13"/>
      <c r="E64" s="12"/>
      <c r="F64" s="16"/>
      <c r="G64" s="15"/>
      <c r="H64" s="13"/>
      <c r="I64" s="13"/>
      <c r="J64" s="13"/>
      <c r="N64" s="28"/>
      <c r="O64" s="5"/>
      <c r="P64" s="1"/>
      <c r="Q64" s="1"/>
      <c r="R64" s="1"/>
      <c r="S64" s="1"/>
      <c r="T64" s="1"/>
    </row>
    <row r="65" spans="1:20">
      <c r="A65" s="56">
        <v>45913</v>
      </c>
      <c r="B65" s="57"/>
      <c r="C65" s="58"/>
      <c r="D65" s="13"/>
      <c r="E65" s="16"/>
      <c r="F65" s="12"/>
      <c r="G65" s="11"/>
      <c r="H65" s="13"/>
      <c r="I65" s="13"/>
      <c r="J65" s="13"/>
      <c r="N65" s="28"/>
      <c r="O65" s="5"/>
      <c r="P65" s="1"/>
      <c r="Q65" s="1"/>
      <c r="R65" s="1"/>
      <c r="S65" s="1"/>
      <c r="T65" s="1"/>
    </row>
    <row r="66" spans="1:20">
      <c r="A66" s="59">
        <v>45914</v>
      </c>
      <c r="B66" s="60"/>
      <c r="C66" s="61"/>
      <c r="D66" s="18"/>
      <c r="E66" s="18"/>
      <c r="F66" s="19"/>
      <c r="G66" s="11"/>
      <c r="H66" s="19"/>
      <c r="I66" s="18"/>
      <c r="J66" s="20"/>
      <c r="N66" s="28"/>
      <c r="O66" s="5"/>
      <c r="P66" s="1"/>
      <c r="Q66" s="1"/>
      <c r="R66" s="1"/>
      <c r="S66" s="1"/>
      <c r="T66" s="1"/>
    </row>
    <row r="67" spans="1:20">
      <c r="A67" s="56">
        <v>45915</v>
      </c>
      <c r="B67" s="57"/>
      <c r="C67" s="58">
        <v>45</v>
      </c>
      <c r="D67" s="13"/>
      <c r="E67" s="16"/>
      <c r="F67" s="12"/>
      <c r="G67" s="11"/>
      <c r="H67" s="13"/>
      <c r="I67" s="13"/>
      <c r="J67" s="13"/>
      <c r="N67" s="28"/>
      <c r="O67" s="5"/>
      <c r="P67" s="1"/>
      <c r="Q67" s="1"/>
      <c r="R67" s="1"/>
      <c r="S67" s="1"/>
      <c r="T67" s="1"/>
    </row>
    <row r="68" spans="1:20">
      <c r="A68" s="56">
        <v>45916</v>
      </c>
      <c r="B68" s="57"/>
      <c r="C68" s="58">
        <v>46</v>
      </c>
      <c r="D68" s="13"/>
      <c r="E68" s="13"/>
      <c r="F68" s="10"/>
      <c r="G68" s="11"/>
      <c r="H68" s="10"/>
      <c r="I68" s="13"/>
      <c r="J68" s="13"/>
      <c r="N68" s="28"/>
      <c r="O68" s="5"/>
      <c r="P68" s="1"/>
      <c r="Q68" s="1"/>
      <c r="R68" s="1"/>
      <c r="S68" s="1"/>
      <c r="T68" s="1"/>
    </row>
    <row r="69" spans="1:20">
      <c r="A69" s="56">
        <v>45917</v>
      </c>
      <c r="B69" s="57"/>
      <c r="C69" s="58">
        <v>47</v>
      </c>
      <c r="D69" s="10"/>
      <c r="E69" s="13"/>
      <c r="F69" s="13"/>
      <c r="G69" s="11"/>
      <c r="H69" s="13"/>
      <c r="I69" s="13"/>
      <c r="J69" s="13"/>
      <c r="N69" s="28"/>
      <c r="O69" s="5"/>
      <c r="P69" s="1"/>
      <c r="Q69" s="1"/>
      <c r="R69" s="1"/>
      <c r="S69" s="1"/>
      <c r="T69" s="1"/>
    </row>
    <row r="70" spans="1:20">
      <c r="A70" s="56">
        <v>45918</v>
      </c>
      <c r="B70" s="57"/>
      <c r="C70" s="58">
        <v>48</v>
      </c>
      <c r="D70" s="10"/>
      <c r="E70" s="10"/>
      <c r="F70" s="10"/>
      <c r="G70" s="14"/>
      <c r="H70" s="13"/>
      <c r="I70" s="13"/>
      <c r="J70" s="13"/>
      <c r="N70" s="28"/>
      <c r="O70" s="5"/>
      <c r="P70" s="1"/>
      <c r="Q70" s="1"/>
      <c r="R70" s="1"/>
      <c r="S70" s="1"/>
      <c r="T70" s="1"/>
    </row>
    <row r="71" spans="1:20">
      <c r="A71" s="56">
        <v>45919</v>
      </c>
      <c r="B71" s="62"/>
      <c r="C71" s="58">
        <v>49</v>
      </c>
      <c r="D71" s="10"/>
      <c r="E71" s="16"/>
      <c r="F71" s="10"/>
      <c r="G71" s="15"/>
      <c r="H71" s="16"/>
      <c r="I71" s="10"/>
      <c r="J71" s="10"/>
      <c r="N71" s="28"/>
      <c r="O71" s="5"/>
      <c r="P71" s="1"/>
      <c r="Q71" s="1"/>
      <c r="R71" s="1"/>
      <c r="S71" s="1"/>
      <c r="T71" s="1"/>
    </row>
    <row r="72" spans="1:20">
      <c r="A72" s="56">
        <v>45920</v>
      </c>
      <c r="B72" s="57"/>
      <c r="C72" s="58"/>
      <c r="D72" s="13"/>
      <c r="E72" s="16"/>
      <c r="F72" s="12"/>
      <c r="G72" s="11"/>
      <c r="H72" s="13"/>
      <c r="I72" s="13"/>
      <c r="J72" s="13"/>
      <c r="N72" s="28"/>
      <c r="O72" s="5"/>
      <c r="P72" s="1"/>
      <c r="Q72" s="1"/>
      <c r="R72" s="1"/>
      <c r="S72" s="1"/>
      <c r="T72" s="1"/>
    </row>
    <row r="73" spans="1:20">
      <c r="A73" s="59">
        <v>45921</v>
      </c>
      <c r="B73" s="60"/>
      <c r="C73" s="61"/>
      <c r="D73" s="18"/>
      <c r="E73" s="18"/>
      <c r="F73" s="19"/>
      <c r="G73" s="11"/>
      <c r="H73" s="19"/>
      <c r="I73" s="20"/>
      <c r="J73" s="20"/>
      <c r="N73" s="30"/>
      <c r="O73" s="5"/>
      <c r="P73" s="1"/>
      <c r="Q73" s="1"/>
      <c r="R73" s="1"/>
      <c r="S73" s="1"/>
      <c r="T73" s="1"/>
    </row>
    <row r="74" spans="1:20" ht="15" customHeight="1">
      <c r="A74" s="56">
        <v>45922</v>
      </c>
      <c r="B74" s="57"/>
      <c r="C74" s="58">
        <v>50</v>
      </c>
      <c r="D74" s="13"/>
      <c r="E74" s="16"/>
      <c r="F74" s="12"/>
      <c r="G74" s="11"/>
      <c r="H74" s="13"/>
      <c r="I74" s="13"/>
      <c r="J74" s="13"/>
      <c r="N74" s="28"/>
      <c r="O74" s="5"/>
      <c r="P74" s="1"/>
      <c r="Q74" s="1"/>
      <c r="R74" s="1"/>
      <c r="S74" s="1"/>
      <c r="T74" s="1"/>
    </row>
    <row r="75" spans="1:20" ht="15" customHeight="1">
      <c r="A75" s="56">
        <v>45923</v>
      </c>
      <c r="B75" s="57"/>
      <c r="C75" s="58">
        <v>51</v>
      </c>
      <c r="D75" s="10"/>
      <c r="E75" s="13"/>
      <c r="F75" s="10"/>
      <c r="G75" s="11"/>
      <c r="H75" s="10"/>
      <c r="I75" s="13"/>
      <c r="J75" s="13"/>
      <c r="N75" s="28"/>
      <c r="O75" s="5"/>
      <c r="P75" s="1"/>
      <c r="Q75" s="1"/>
      <c r="R75" s="1"/>
      <c r="S75" s="1"/>
      <c r="T75" s="1"/>
    </row>
    <row r="76" spans="1:20" ht="15" customHeight="1">
      <c r="A76" s="56">
        <v>45924</v>
      </c>
      <c r="B76" s="57"/>
      <c r="C76" s="58">
        <v>52</v>
      </c>
      <c r="D76" s="10"/>
      <c r="E76" s="10"/>
      <c r="F76" s="10"/>
      <c r="G76" s="21"/>
      <c r="H76" s="10"/>
      <c r="I76" s="10"/>
      <c r="J76" s="10"/>
      <c r="N76" s="28"/>
      <c r="O76" s="5"/>
      <c r="P76" s="1"/>
      <c r="Q76" s="1"/>
      <c r="R76" s="1"/>
      <c r="S76" s="1"/>
      <c r="T76" s="1"/>
    </row>
    <row r="77" spans="1:20" ht="15" customHeight="1">
      <c r="A77" s="56">
        <v>45925</v>
      </c>
      <c r="B77" s="57"/>
      <c r="C77" s="58">
        <v>53</v>
      </c>
      <c r="D77" s="10"/>
      <c r="E77" s="10"/>
      <c r="F77" s="10"/>
      <c r="G77" s="14"/>
      <c r="H77" s="13"/>
      <c r="I77" s="13"/>
      <c r="J77" s="13"/>
      <c r="N77" s="28"/>
      <c r="O77" s="5"/>
      <c r="P77" s="1"/>
      <c r="Q77" s="1"/>
      <c r="R77" s="1"/>
      <c r="S77" s="1"/>
      <c r="T77" s="1"/>
    </row>
    <row r="78" spans="1:20" ht="15" customHeight="1">
      <c r="A78" s="65">
        <v>45926</v>
      </c>
      <c r="B78" s="71" t="s">
        <v>24</v>
      </c>
      <c r="C78" s="72" t="s">
        <v>25</v>
      </c>
      <c r="D78" s="68"/>
      <c r="E78" s="73"/>
      <c r="F78" s="69"/>
      <c r="G78" s="15"/>
      <c r="H78" s="68"/>
      <c r="I78" s="68"/>
      <c r="J78" s="68"/>
      <c r="N78" s="28"/>
      <c r="O78" s="5"/>
      <c r="P78" s="1"/>
      <c r="Q78" s="1"/>
      <c r="R78" s="1"/>
      <c r="S78" s="1"/>
      <c r="T78" s="1"/>
    </row>
    <row r="79" spans="1:20" ht="15" customHeight="1">
      <c r="A79" s="56">
        <v>45927</v>
      </c>
      <c r="B79" s="57"/>
      <c r="C79" s="58">
        <v>54</v>
      </c>
      <c r="D79" s="13"/>
      <c r="E79" s="16"/>
      <c r="F79" s="16"/>
      <c r="G79" s="11"/>
      <c r="H79" s="17"/>
      <c r="I79" s="17"/>
      <c r="J79" s="17"/>
      <c r="N79" s="28"/>
      <c r="O79" s="5"/>
      <c r="P79" s="1"/>
      <c r="Q79" s="1"/>
      <c r="R79" s="1"/>
      <c r="S79" s="1"/>
      <c r="T79" s="1"/>
    </row>
    <row r="80" spans="1:20">
      <c r="A80" s="59">
        <v>45928</v>
      </c>
      <c r="B80" s="60"/>
      <c r="C80" s="61"/>
      <c r="D80" s="20"/>
      <c r="E80" s="19"/>
      <c r="F80" s="18"/>
      <c r="G80" s="11"/>
      <c r="H80" s="18"/>
      <c r="I80" s="20"/>
      <c r="J80" s="20"/>
      <c r="N80" s="28"/>
      <c r="O80" s="5"/>
      <c r="P80" s="1"/>
      <c r="Q80" s="1"/>
      <c r="R80" s="1"/>
      <c r="S80" s="1"/>
      <c r="T80" s="1"/>
    </row>
    <row r="81" spans="1:20">
      <c r="A81" s="56">
        <v>45929</v>
      </c>
      <c r="B81" s="57"/>
      <c r="C81" s="58">
        <v>55</v>
      </c>
      <c r="D81" s="13"/>
      <c r="E81" s="16"/>
      <c r="F81" s="12"/>
      <c r="G81" s="11"/>
      <c r="H81" s="13"/>
      <c r="I81" s="13"/>
      <c r="J81" s="13"/>
      <c r="N81" s="28"/>
      <c r="O81" s="5"/>
      <c r="P81" s="1"/>
      <c r="Q81" s="1"/>
      <c r="R81" s="1"/>
      <c r="S81" s="1"/>
      <c r="T81" s="1"/>
    </row>
    <row r="82" spans="1:20">
      <c r="A82" s="56">
        <v>45930</v>
      </c>
      <c r="B82" s="57"/>
      <c r="C82" s="58">
        <v>56</v>
      </c>
      <c r="D82" s="10"/>
      <c r="E82" s="13"/>
      <c r="F82" s="10"/>
      <c r="G82" s="11"/>
      <c r="H82" s="10"/>
      <c r="I82" s="13"/>
      <c r="J82" s="13"/>
      <c r="N82" s="28"/>
      <c r="O82" s="5"/>
      <c r="P82" s="1"/>
      <c r="Q82" s="1"/>
      <c r="R82" s="1"/>
      <c r="S82" s="1"/>
      <c r="T82" s="1"/>
    </row>
    <row r="83" spans="1:20">
      <c r="A83" s="56">
        <v>45931</v>
      </c>
      <c r="B83" s="57"/>
      <c r="C83" s="58">
        <v>57</v>
      </c>
      <c r="D83" s="10"/>
      <c r="E83" s="13"/>
      <c r="F83" s="13"/>
      <c r="G83" s="11"/>
      <c r="H83" s="13"/>
      <c r="I83" s="13"/>
      <c r="J83" s="13"/>
      <c r="L83" s="29"/>
      <c r="M83" s="29"/>
      <c r="N83" s="28"/>
      <c r="O83" s="5"/>
      <c r="P83" s="1"/>
      <c r="Q83" s="1"/>
      <c r="R83" s="1"/>
      <c r="S83" s="1"/>
      <c r="T83" s="1"/>
    </row>
    <row r="84" spans="1:20">
      <c r="A84" s="59">
        <v>45932</v>
      </c>
      <c r="B84" s="60"/>
      <c r="C84" s="61" t="s">
        <v>26</v>
      </c>
      <c r="D84" s="55"/>
      <c r="E84" s="55"/>
      <c r="F84" s="55"/>
      <c r="G84" s="14"/>
      <c r="H84" s="20"/>
      <c r="I84" s="20"/>
      <c r="J84" s="20"/>
      <c r="N84" s="3"/>
      <c r="O84" s="3"/>
      <c r="P84" s="1"/>
      <c r="Q84" s="1"/>
      <c r="R84" s="1"/>
      <c r="S84" s="1"/>
      <c r="T84" s="1"/>
    </row>
    <row r="85" spans="1:20">
      <c r="A85" s="56">
        <v>45933</v>
      </c>
      <c r="B85" s="57"/>
      <c r="C85" s="58">
        <v>58</v>
      </c>
      <c r="D85" s="13"/>
      <c r="E85" s="10"/>
      <c r="F85" s="10"/>
      <c r="G85" s="15"/>
      <c r="H85" s="13"/>
      <c r="I85" s="13"/>
      <c r="J85" s="13"/>
      <c r="N85" s="28"/>
      <c r="O85" s="5"/>
      <c r="P85" s="1"/>
      <c r="Q85" s="1"/>
      <c r="R85" s="1"/>
      <c r="S85" s="1"/>
      <c r="T85" s="1"/>
    </row>
    <row r="86" spans="1:20">
      <c r="A86" s="56">
        <v>45934</v>
      </c>
      <c r="B86" s="57"/>
      <c r="C86" s="58"/>
      <c r="D86" s="13"/>
      <c r="E86" s="16"/>
      <c r="F86" s="16"/>
      <c r="G86" s="11"/>
      <c r="H86" s="17"/>
      <c r="I86" s="13"/>
      <c r="J86" s="17"/>
      <c r="L86" s="29"/>
      <c r="M86" s="29"/>
      <c r="N86" s="28"/>
      <c r="O86" s="5"/>
      <c r="P86" s="1"/>
      <c r="Q86" s="1"/>
      <c r="R86" s="1"/>
      <c r="S86" s="1"/>
      <c r="T86" s="1"/>
    </row>
    <row r="87" spans="1:20">
      <c r="A87" s="59">
        <v>45935</v>
      </c>
      <c r="B87" s="63"/>
      <c r="C87" s="61"/>
      <c r="D87" s="20"/>
      <c r="E87" s="20"/>
      <c r="F87" s="20"/>
      <c r="G87" s="11"/>
      <c r="H87" s="20"/>
      <c r="I87" s="20"/>
      <c r="J87" s="20"/>
      <c r="L87" s="29"/>
      <c r="M87" s="29"/>
      <c r="N87" s="28"/>
      <c r="O87" s="5"/>
      <c r="P87" s="1"/>
      <c r="Q87" s="1"/>
      <c r="R87" s="1"/>
      <c r="S87" s="1"/>
      <c r="T87" s="1"/>
    </row>
    <row r="88" spans="1:20">
      <c r="A88" s="56">
        <v>45936</v>
      </c>
      <c r="B88" s="74"/>
      <c r="C88" s="58">
        <v>59</v>
      </c>
      <c r="D88" s="10"/>
      <c r="E88" s="10"/>
      <c r="F88" s="10"/>
      <c r="G88" s="11"/>
      <c r="H88" s="12"/>
      <c r="I88" s="10"/>
      <c r="J88" s="10"/>
      <c r="L88" s="29"/>
      <c r="M88" s="29"/>
      <c r="N88" s="28"/>
      <c r="O88" s="5"/>
      <c r="P88" s="1"/>
      <c r="Q88" s="1"/>
      <c r="R88" s="1"/>
      <c r="S88" s="1"/>
      <c r="T88" s="1"/>
    </row>
    <row r="89" spans="1:20">
      <c r="A89" s="56">
        <v>45937</v>
      </c>
      <c r="B89" s="62"/>
      <c r="C89" s="58">
        <v>60</v>
      </c>
      <c r="D89" s="12"/>
      <c r="E89" s="13"/>
      <c r="F89" s="13"/>
      <c r="G89" s="11"/>
      <c r="H89" s="13"/>
      <c r="I89" s="10"/>
      <c r="J89" s="13"/>
      <c r="L89" s="29"/>
      <c r="M89" s="29"/>
      <c r="N89" s="28"/>
      <c r="O89" s="5"/>
      <c r="P89" s="1"/>
      <c r="Q89" s="1"/>
      <c r="R89" s="1"/>
      <c r="S89" s="1"/>
      <c r="T89" s="1"/>
    </row>
    <row r="90" spans="1:20">
      <c r="A90" s="56">
        <v>45938</v>
      </c>
      <c r="B90" s="57"/>
      <c r="C90" s="58">
        <v>61</v>
      </c>
      <c r="D90" s="10"/>
      <c r="E90" s="13"/>
      <c r="F90" s="13"/>
      <c r="G90" s="11"/>
      <c r="H90" s="13"/>
      <c r="I90" s="13"/>
      <c r="J90" s="13"/>
      <c r="L90" s="29"/>
      <c r="M90" s="29"/>
      <c r="N90" s="28"/>
      <c r="O90" s="5"/>
      <c r="P90" s="1"/>
      <c r="Q90" s="1"/>
      <c r="R90" s="1"/>
      <c r="S90" s="1"/>
      <c r="T90" s="1"/>
    </row>
    <row r="91" spans="1:20">
      <c r="A91" s="56">
        <v>45939</v>
      </c>
      <c r="B91" s="57"/>
      <c r="C91" s="58">
        <v>62</v>
      </c>
      <c r="D91" s="10"/>
      <c r="E91" s="10"/>
      <c r="F91" s="10"/>
      <c r="G91" s="14"/>
      <c r="H91" s="13"/>
      <c r="I91" s="13"/>
      <c r="J91" s="13"/>
      <c r="L91" s="29"/>
      <c r="M91" s="29"/>
      <c r="N91" s="28"/>
      <c r="O91" s="5"/>
      <c r="P91" s="1"/>
      <c r="Q91" s="1"/>
      <c r="R91" s="1"/>
      <c r="S91" s="1"/>
      <c r="T91" s="1"/>
    </row>
    <row r="92" spans="1:20">
      <c r="A92" s="56">
        <v>45940</v>
      </c>
      <c r="B92" s="57"/>
      <c r="C92" s="58">
        <v>63</v>
      </c>
      <c r="D92" s="13"/>
      <c r="E92" s="10"/>
      <c r="F92" s="10"/>
      <c r="G92" s="15"/>
      <c r="H92" s="13"/>
      <c r="I92" s="13"/>
      <c r="J92" s="13"/>
      <c r="N92" s="28"/>
      <c r="O92" s="5"/>
      <c r="P92" s="1"/>
      <c r="Q92" s="1"/>
      <c r="R92" s="1"/>
      <c r="S92" s="1"/>
      <c r="T92" s="1"/>
    </row>
    <row r="93" spans="1:20">
      <c r="A93" s="56">
        <v>45941</v>
      </c>
      <c r="B93" s="57"/>
      <c r="C93" s="58"/>
      <c r="D93" s="13"/>
      <c r="E93" s="16"/>
      <c r="F93" s="16"/>
      <c r="G93" s="11"/>
      <c r="H93" s="17"/>
      <c r="I93" s="17"/>
      <c r="J93" s="17"/>
      <c r="L93" s="29"/>
      <c r="M93" s="29"/>
      <c r="N93" s="28"/>
      <c r="O93" s="5"/>
      <c r="P93" s="1"/>
      <c r="Q93" s="1"/>
      <c r="R93" s="1"/>
      <c r="S93" s="1"/>
      <c r="T93" s="1"/>
    </row>
    <row r="94" spans="1:20">
      <c r="A94" s="59">
        <v>45942</v>
      </c>
      <c r="B94" s="63"/>
      <c r="C94" s="61"/>
      <c r="D94" s="20"/>
      <c r="E94" s="20"/>
      <c r="F94" s="20"/>
      <c r="G94" s="11"/>
      <c r="H94" s="20"/>
      <c r="I94" s="20"/>
      <c r="J94" s="20"/>
      <c r="L94" s="29"/>
      <c r="M94" s="29"/>
      <c r="N94" s="28"/>
      <c r="O94" s="5"/>
      <c r="P94" s="1"/>
      <c r="Q94" s="1"/>
      <c r="R94" s="1"/>
      <c r="S94" s="1"/>
      <c r="T94" s="1"/>
    </row>
    <row r="95" spans="1:20">
      <c r="A95" s="56">
        <v>45943</v>
      </c>
      <c r="B95" s="57"/>
      <c r="C95" s="58">
        <v>64</v>
      </c>
      <c r="D95" s="13"/>
      <c r="E95" s="16"/>
      <c r="F95" s="12"/>
      <c r="G95" s="11"/>
      <c r="H95" s="13"/>
      <c r="I95" s="13"/>
      <c r="J95" s="13"/>
      <c r="M95" s="34"/>
      <c r="N95" s="35"/>
      <c r="O95" s="36"/>
      <c r="P95" s="1"/>
      <c r="Q95" s="1"/>
      <c r="R95" s="31"/>
      <c r="S95" s="1"/>
      <c r="T95" s="1"/>
    </row>
    <row r="96" spans="1:20">
      <c r="A96" s="56">
        <v>45944</v>
      </c>
      <c r="B96" s="57"/>
      <c r="C96" s="58">
        <v>65</v>
      </c>
      <c r="D96" s="10"/>
      <c r="E96" s="13"/>
      <c r="F96" s="10"/>
      <c r="G96" s="11"/>
      <c r="H96" s="13"/>
      <c r="I96" s="13"/>
      <c r="J96" s="13"/>
      <c r="L96" s="29"/>
      <c r="M96" s="34"/>
      <c r="N96" s="35"/>
      <c r="O96" s="36"/>
      <c r="P96" s="1"/>
      <c r="Q96" s="1"/>
      <c r="R96" s="32"/>
      <c r="S96" s="1"/>
      <c r="T96" s="1"/>
    </row>
    <row r="97" spans="1:20" ht="15.75">
      <c r="A97" s="56">
        <v>45945</v>
      </c>
      <c r="B97" s="57"/>
      <c r="C97" s="58">
        <v>66</v>
      </c>
      <c r="D97" s="10"/>
      <c r="E97" s="13"/>
      <c r="F97" s="13"/>
      <c r="G97" s="11"/>
      <c r="H97" s="12"/>
      <c r="I97" s="10"/>
      <c r="J97" s="13"/>
      <c r="L97" s="29"/>
      <c r="M97" s="34"/>
      <c r="N97" s="37"/>
      <c r="O97" s="38"/>
      <c r="P97" s="1"/>
      <c r="Q97" s="1"/>
      <c r="R97" s="32"/>
      <c r="S97" s="1"/>
      <c r="T97" s="1"/>
    </row>
    <row r="98" spans="1:20" ht="15.75">
      <c r="A98" s="56">
        <v>45946</v>
      </c>
      <c r="B98" s="57"/>
      <c r="C98" s="58">
        <v>67</v>
      </c>
      <c r="D98" s="10"/>
      <c r="E98" s="10"/>
      <c r="F98" s="10"/>
      <c r="G98" s="14"/>
      <c r="H98" s="13"/>
      <c r="I98" s="13"/>
      <c r="J98" s="13"/>
      <c r="L98" s="29"/>
      <c r="M98" s="34"/>
      <c r="N98" s="35"/>
      <c r="O98" s="38"/>
      <c r="P98" s="1"/>
      <c r="Q98" s="1"/>
      <c r="R98" s="32"/>
      <c r="S98" s="1"/>
      <c r="T98" s="1"/>
    </row>
    <row r="99" spans="1:20" ht="15.75">
      <c r="A99" s="56">
        <v>45947</v>
      </c>
      <c r="B99" s="62"/>
      <c r="C99" s="58">
        <v>68</v>
      </c>
      <c r="D99" s="10"/>
      <c r="E99" s="16"/>
      <c r="F99" s="10"/>
      <c r="G99" s="15"/>
      <c r="H99" s="16"/>
      <c r="I99" s="13"/>
      <c r="J99" s="10"/>
      <c r="L99" s="29"/>
      <c r="M99" s="34"/>
      <c r="N99" s="39"/>
      <c r="O99" s="40"/>
      <c r="P99" s="1"/>
      <c r="Q99" s="1"/>
      <c r="R99" s="32"/>
      <c r="S99" s="1"/>
      <c r="T99" s="1"/>
    </row>
    <row r="100" spans="1:20" ht="15.75">
      <c r="A100" s="59">
        <v>45948</v>
      </c>
      <c r="B100" s="60"/>
      <c r="C100" s="61" t="s">
        <v>27</v>
      </c>
      <c r="D100" s="20"/>
      <c r="E100" s="19"/>
      <c r="F100" s="19"/>
      <c r="G100" s="11"/>
      <c r="H100" s="75"/>
      <c r="I100" s="75"/>
      <c r="J100" s="75"/>
      <c r="L100" s="29"/>
      <c r="M100" s="41"/>
      <c r="N100" s="42"/>
      <c r="O100" s="40"/>
      <c r="P100" s="1"/>
      <c r="Q100" s="1"/>
      <c r="R100" s="33"/>
      <c r="S100" s="1"/>
      <c r="T100" s="1"/>
    </row>
    <row r="101" spans="1:20">
      <c r="A101" s="59">
        <v>45949</v>
      </c>
      <c r="B101" s="60"/>
      <c r="C101" s="76" t="s">
        <v>28</v>
      </c>
      <c r="D101" s="20"/>
      <c r="E101" s="20"/>
      <c r="F101" s="20"/>
      <c r="G101" s="11"/>
      <c r="H101" s="20"/>
      <c r="I101" s="20"/>
      <c r="J101" s="20"/>
      <c r="L101" s="29"/>
      <c r="M101" s="29"/>
      <c r="N101" s="1"/>
      <c r="O101" s="5"/>
      <c r="P101" s="1"/>
      <c r="Q101" s="1"/>
      <c r="R101" s="1"/>
      <c r="S101" s="1"/>
      <c r="T101" s="1"/>
    </row>
    <row r="102" spans="1:20">
      <c r="A102" s="59">
        <v>45950</v>
      </c>
      <c r="B102" s="60"/>
      <c r="C102" s="61" t="s">
        <v>27</v>
      </c>
      <c r="D102" s="20"/>
      <c r="E102" s="19"/>
      <c r="F102" s="18"/>
      <c r="G102" s="11"/>
      <c r="H102" s="18"/>
      <c r="I102" s="55"/>
      <c r="J102" s="20"/>
      <c r="L102" s="28"/>
      <c r="N102" s="1"/>
      <c r="O102" s="5"/>
      <c r="P102" s="1"/>
      <c r="Q102" s="1"/>
      <c r="R102" s="1"/>
      <c r="S102" s="1"/>
      <c r="T102" s="1"/>
    </row>
    <row r="103" spans="1:20">
      <c r="A103" s="59">
        <v>45951</v>
      </c>
      <c r="B103" s="60"/>
      <c r="C103" s="76" t="s">
        <v>28</v>
      </c>
      <c r="D103" s="55"/>
      <c r="E103" s="20"/>
      <c r="F103" s="55"/>
      <c r="G103" s="11"/>
      <c r="H103" s="20"/>
      <c r="I103" s="20"/>
      <c r="J103" s="20"/>
      <c r="N103" s="1"/>
      <c r="O103" s="5"/>
      <c r="P103" s="1"/>
      <c r="Q103" s="1"/>
      <c r="R103" s="1"/>
      <c r="S103" s="1"/>
      <c r="T103" s="1"/>
    </row>
    <row r="104" spans="1:20">
      <c r="A104" s="56">
        <v>45952</v>
      </c>
      <c r="B104" s="57"/>
      <c r="C104" s="58">
        <v>69</v>
      </c>
      <c r="D104" s="10"/>
      <c r="E104" s="13"/>
      <c r="F104" s="13"/>
      <c r="G104" s="11"/>
      <c r="H104" s="12"/>
      <c r="I104" s="10"/>
      <c r="J104" s="13"/>
      <c r="N104" s="1"/>
      <c r="O104" s="5"/>
      <c r="P104" s="1"/>
      <c r="Q104" s="1"/>
      <c r="R104" s="1"/>
      <c r="S104" s="1"/>
      <c r="T104" s="1"/>
    </row>
    <row r="105" spans="1:20">
      <c r="A105" s="56">
        <v>45953</v>
      </c>
      <c r="B105" s="57"/>
      <c r="C105" s="77">
        <v>70</v>
      </c>
      <c r="D105" s="10"/>
      <c r="E105" s="10"/>
      <c r="F105" s="10"/>
      <c r="G105" s="14"/>
      <c r="H105" s="13"/>
      <c r="I105" s="13"/>
      <c r="J105" s="13"/>
      <c r="N105" s="1"/>
      <c r="O105" s="5"/>
      <c r="P105" s="1"/>
      <c r="Q105" s="1"/>
      <c r="R105" s="1"/>
      <c r="S105" s="1"/>
      <c r="T105" s="1"/>
    </row>
    <row r="106" spans="1:20">
      <c r="A106" s="56">
        <v>45954</v>
      </c>
      <c r="B106" s="62"/>
      <c r="C106" s="77">
        <v>71</v>
      </c>
      <c r="D106" s="13"/>
      <c r="E106" s="13"/>
      <c r="F106" s="13"/>
      <c r="G106" s="11"/>
      <c r="H106" s="13"/>
      <c r="I106" s="13"/>
      <c r="J106" s="13"/>
      <c r="O106" s="5"/>
    </row>
    <row r="107" spans="1:20">
      <c r="A107" s="56">
        <v>45955</v>
      </c>
      <c r="B107" s="57"/>
      <c r="C107" s="64"/>
      <c r="D107" s="13"/>
      <c r="E107" s="16"/>
      <c r="F107" s="16"/>
      <c r="G107" s="11"/>
      <c r="H107" s="17"/>
      <c r="I107" s="17"/>
      <c r="J107" s="17"/>
      <c r="O107" s="5"/>
    </row>
    <row r="108" spans="1:20">
      <c r="A108" s="59">
        <v>45956</v>
      </c>
      <c r="B108" s="60"/>
      <c r="C108" s="61"/>
      <c r="D108" s="20"/>
      <c r="E108" s="20"/>
      <c r="F108" s="20"/>
      <c r="G108" s="11"/>
      <c r="H108" s="20"/>
      <c r="I108" s="20"/>
      <c r="J108" s="20"/>
    </row>
    <row r="109" spans="1:20">
      <c r="A109" s="56">
        <v>45957</v>
      </c>
      <c r="B109" s="57"/>
      <c r="C109" s="58">
        <v>72</v>
      </c>
      <c r="D109" s="13"/>
      <c r="E109" s="16"/>
      <c r="F109" s="12"/>
      <c r="G109" s="11"/>
      <c r="H109" s="13"/>
      <c r="I109" s="13"/>
      <c r="J109" s="13"/>
      <c r="L109" s="28"/>
    </row>
    <row r="110" spans="1:20">
      <c r="A110" s="56">
        <v>45958</v>
      </c>
      <c r="B110" s="57"/>
      <c r="C110" s="58">
        <v>73</v>
      </c>
      <c r="D110" s="10"/>
      <c r="E110" s="13"/>
      <c r="F110" s="10"/>
      <c r="G110" s="11"/>
      <c r="H110" s="10"/>
      <c r="I110" s="13"/>
      <c r="J110" s="13"/>
    </row>
    <row r="111" spans="1:20">
      <c r="A111" s="56">
        <v>45959</v>
      </c>
      <c r="B111" s="57"/>
      <c r="C111" s="77">
        <v>74</v>
      </c>
      <c r="D111" s="10"/>
      <c r="E111" s="13"/>
      <c r="F111" s="13"/>
      <c r="G111" s="11"/>
      <c r="H111" s="12"/>
      <c r="I111" s="10"/>
      <c r="J111" s="13"/>
    </row>
    <row r="112" spans="1:20">
      <c r="A112" s="56">
        <v>45960</v>
      </c>
      <c r="B112" s="57"/>
      <c r="C112" s="77">
        <v>75</v>
      </c>
      <c r="D112" s="10"/>
      <c r="E112" s="10"/>
      <c r="F112" s="10"/>
      <c r="G112" s="14"/>
      <c r="H112" s="13"/>
      <c r="I112" s="13"/>
      <c r="J112" s="13"/>
    </row>
    <row r="113" spans="1:13">
      <c r="A113" s="56">
        <v>45961</v>
      </c>
      <c r="B113" s="57"/>
      <c r="C113" s="58">
        <v>76</v>
      </c>
      <c r="D113" s="13"/>
      <c r="E113" s="10"/>
      <c r="F113" s="10"/>
      <c r="G113" s="15"/>
      <c r="H113" s="12"/>
      <c r="I113" s="10"/>
      <c r="J113" s="13"/>
      <c r="L113" s="29"/>
    </row>
    <row r="114" spans="1:13">
      <c r="A114" s="56">
        <v>45962</v>
      </c>
      <c r="B114" s="57"/>
      <c r="C114" s="77"/>
      <c r="D114" s="13"/>
      <c r="E114" s="16"/>
      <c r="F114" s="16"/>
      <c r="G114" s="11"/>
      <c r="H114" s="17"/>
      <c r="I114" s="17"/>
      <c r="J114" s="17"/>
    </row>
    <row r="115" spans="1:13">
      <c r="A115" s="59">
        <v>45963</v>
      </c>
      <c r="B115" s="60"/>
      <c r="C115" s="76"/>
      <c r="D115" s="20"/>
      <c r="E115" s="20"/>
      <c r="F115" s="20"/>
      <c r="G115" s="11"/>
      <c r="H115" s="20"/>
      <c r="I115" s="20"/>
      <c r="J115" s="20"/>
    </row>
    <row r="116" spans="1:13">
      <c r="A116" s="56">
        <v>45964</v>
      </c>
      <c r="B116" s="57"/>
      <c r="C116" s="77">
        <v>77</v>
      </c>
      <c r="D116" s="10"/>
      <c r="E116" s="10"/>
      <c r="F116" s="10"/>
      <c r="G116" s="11"/>
      <c r="H116" s="12"/>
      <c r="I116" s="10"/>
      <c r="J116" s="10"/>
      <c r="L116" s="28"/>
      <c r="M116" s="9"/>
    </row>
    <row r="117" spans="1:13">
      <c r="A117" s="59">
        <v>45965</v>
      </c>
      <c r="B117" s="60"/>
      <c r="C117" s="76" t="s">
        <v>29</v>
      </c>
      <c r="D117" s="55"/>
      <c r="E117" s="55"/>
      <c r="F117" s="55"/>
      <c r="G117" s="11"/>
      <c r="H117" s="55"/>
      <c r="I117" s="55"/>
      <c r="J117" s="55"/>
    </row>
    <row r="118" spans="1:13">
      <c r="A118" s="56">
        <v>45966</v>
      </c>
      <c r="B118" s="57"/>
      <c r="C118" s="77">
        <v>78</v>
      </c>
      <c r="D118" s="10"/>
      <c r="E118" s="13"/>
      <c r="F118" s="10"/>
      <c r="G118" s="11"/>
      <c r="H118" s="13"/>
      <c r="I118" s="13"/>
      <c r="J118" s="13"/>
    </row>
    <row r="119" spans="1:13">
      <c r="A119" s="56">
        <v>45967</v>
      </c>
      <c r="B119" s="57"/>
      <c r="C119" s="58" t="s">
        <v>30</v>
      </c>
      <c r="D119" s="13"/>
      <c r="E119" s="13"/>
      <c r="F119" s="13"/>
      <c r="G119" s="11"/>
      <c r="H119" s="13"/>
      <c r="I119" s="13"/>
      <c r="J119" s="13"/>
    </row>
    <row r="120" spans="1:13">
      <c r="A120" s="56">
        <v>45968</v>
      </c>
      <c r="B120" s="57"/>
      <c r="C120" s="58" t="s">
        <v>31</v>
      </c>
      <c r="D120" s="13"/>
      <c r="E120" s="13"/>
      <c r="F120" s="13"/>
      <c r="G120" s="11"/>
      <c r="H120" s="13"/>
      <c r="I120" s="13"/>
      <c r="J120" s="13"/>
    </row>
    <row r="121" spans="1:13">
      <c r="A121" s="56">
        <v>45969</v>
      </c>
      <c r="B121" s="57"/>
      <c r="C121" s="78"/>
      <c r="D121" s="13"/>
      <c r="E121" s="13"/>
      <c r="F121" s="13"/>
      <c r="G121" s="11"/>
      <c r="H121" s="13"/>
      <c r="I121" s="13"/>
      <c r="J121" s="13"/>
    </row>
    <row r="122" spans="1:13">
      <c r="A122" s="79">
        <v>45970</v>
      </c>
      <c r="B122" s="80"/>
      <c r="C122" s="81"/>
      <c r="D122" s="82"/>
      <c r="E122" s="82"/>
      <c r="F122" s="82"/>
      <c r="G122" s="93"/>
      <c r="H122" s="82"/>
      <c r="I122" s="82"/>
      <c r="J122" s="82"/>
    </row>
    <row r="123" spans="1:13">
      <c r="A123" s="83">
        <v>45971</v>
      </c>
      <c r="B123" s="57"/>
      <c r="C123" s="58">
        <v>79</v>
      </c>
      <c r="D123" s="13"/>
      <c r="E123" s="13"/>
      <c r="F123" s="13"/>
      <c r="G123" s="11"/>
      <c r="H123" s="13"/>
      <c r="I123" s="13"/>
      <c r="J123" s="13"/>
    </row>
    <row r="124" spans="1:13">
      <c r="A124" s="83">
        <v>45972</v>
      </c>
      <c r="B124" s="57"/>
      <c r="C124" s="58">
        <v>80</v>
      </c>
      <c r="D124" s="13"/>
      <c r="E124" s="13"/>
      <c r="F124" s="13"/>
      <c r="G124" s="11"/>
      <c r="H124" s="13"/>
      <c r="I124" s="13"/>
      <c r="J124" s="13"/>
    </row>
    <row r="125" spans="1:13">
      <c r="A125" s="83">
        <v>45973</v>
      </c>
      <c r="B125" s="57"/>
      <c r="C125" s="58">
        <v>81</v>
      </c>
      <c r="D125" s="13"/>
      <c r="E125" s="13"/>
      <c r="F125" s="13"/>
      <c r="G125" s="11"/>
      <c r="H125" s="13"/>
      <c r="I125" s="13"/>
      <c r="J125" s="13"/>
    </row>
    <row r="126" spans="1:13">
      <c r="A126" s="83">
        <v>45974</v>
      </c>
      <c r="B126" s="57"/>
      <c r="C126" s="58">
        <v>82</v>
      </c>
      <c r="D126" s="13"/>
      <c r="E126" s="13"/>
      <c r="F126" s="13"/>
      <c r="G126" s="11"/>
      <c r="H126" s="13"/>
      <c r="I126" s="13"/>
      <c r="J126" s="13"/>
    </row>
    <row r="127" spans="1:13">
      <c r="A127" s="83">
        <v>45975</v>
      </c>
      <c r="B127" s="57"/>
      <c r="C127" s="58">
        <v>83</v>
      </c>
      <c r="D127" s="13"/>
      <c r="E127" s="13"/>
      <c r="F127" s="13"/>
      <c r="G127" s="11"/>
      <c r="H127" s="13"/>
      <c r="I127" s="13"/>
      <c r="J127" s="13"/>
    </row>
    <row r="128" spans="1:13">
      <c r="A128" s="83">
        <v>45976</v>
      </c>
      <c r="B128" s="57"/>
      <c r="C128" s="78"/>
      <c r="D128" s="13"/>
      <c r="E128" s="13"/>
      <c r="F128" s="13"/>
      <c r="G128" s="11"/>
      <c r="H128" s="13"/>
      <c r="I128" s="13"/>
      <c r="J128" s="13"/>
    </row>
    <row r="129" spans="1:10">
      <c r="A129" s="84">
        <v>45977</v>
      </c>
      <c r="B129" s="85"/>
      <c r="C129" s="76"/>
      <c r="D129" s="20"/>
      <c r="E129" s="20"/>
      <c r="F129" s="20"/>
      <c r="G129" s="11"/>
      <c r="H129" s="20"/>
      <c r="I129" s="20"/>
      <c r="J129" s="20"/>
    </row>
    <row r="130" spans="1:10">
      <c r="A130" s="83">
        <v>45978</v>
      </c>
      <c r="B130" s="74"/>
      <c r="C130" s="77">
        <v>84</v>
      </c>
      <c r="D130" s="13"/>
      <c r="E130" s="13"/>
      <c r="F130" s="13"/>
      <c r="G130" s="11"/>
      <c r="H130" s="13"/>
      <c r="I130" s="13"/>
      <c r="J130" s="13"/>
    </row>
    <row r="131" spans="1:10">
      <c r="A131" s="83">
        <v>45979</v>
      </c>
      <c r="B131" s="74"/>
      <c r="C131" s="77">
        <v>85</v>
      </c>
      <c r="D131" s="13"/>
      <c r="E131" s="13"/>
      <c r="F131" s="13"/>
      <c r="G131" s="11"/>
      <c r="H131" s="13"/>
      <c r="I131" s="13"/>
      <c r="J131" s="13"/>
    </row>
    <row r="132" spans="1:10">
      <c r="A132" s="83">
        <v>45980</v>
      </c>
      <c r="B132" s="74"/>
      <c r="C132" s="77">
        <v>86</v>
      </c>
      <c r="D132" s="13"/>
      <c r="E132" s="13"/>
      <c r="F132" s="13"/>
      <c r="G132" s="11"/>
      <c r="H132" s="13"/>
      <c r="I132" s="13"/>
      <c r="J132" s="13"/>
    </row>
    <row r="133" spans="1:10">
      <c r="A133" s="83">
        <v>45981</v>
      </c>
      <c r="B133" s="74"/>
      <c r="C133" s="77">
        <v>87</v>
      </c>
      <c r="D133" s="13"/>
      <c r="E133" s="13"/>
      <c r="F133" s="13"/>
      <c r="G133" s="11"/>
      <c r="H133" s="13"/>
      <c r="I133" s="13"/>
      <c r="J133" s="13"/>
    </row>
    <row r="134" spans="1:10">
      <c r="A134" s="83">
        <v>45982</v>
      </c>
      <c r="B134" s="74"/>
      <c r="C134" s="77">
        <v>88</v>
      </c>
      <c r="D134" s="13"/>
      <c r="E134" s="13"/>
      <c r="F134" s="13"/>
      <c r="G134" s="11"/>
      <c r="H134" s="13"/>
      <c r="I134" s="13"/>
      <c r="J134" s="13"/>
    </row>
    <row r="135" spans="1:10">
      <c r="A135" s="83">
        <v>45983</v>
      </c>
      <c r="B135" s="74"/>
      <c r="C135" s="77"/>
      <c r="D135" s="13"/>
      <c r="E135" s="13"/>
      <c r="F135" s="13"/>
      <c r="G135" s="11"/>
      <c r="H135" s="13"/>
      <c r="I135" s="13"/>
      <c r="J135" s="13"/>
    </row>
    <row r="136" spans="1:10">
      <c r="A136" s="84">
        <v>45984</v>
      </c>
      <c r="B136" s="85"/>
      <c r="C136" s="76"/>
      <c r="D136" s="20"/>
      <c r="E136" s="20"/>
      <c r="F136" s="20"/>
      <c r="G136" s="11"/>
      <c r="H136" s="20"/>
      <c r="I136" s="20"/>
      <c r="J136" s="20"/>
    </row>
    <row r="137" spans="1:10">
      <c r="A137" s="83">
        <v>45985</v>
      </c>
      <c r="B137" s="74"/>
      <c r="C137" s="77"/>
      <c r="D137" s="13"/>
      <c r="E137" s="13"/>
      <c r="F137" s="13"/>
      <c r="G137" s="11"/>
      <c r="H137" s="13"/>
      <c r="I137" s="13"/>
      <c r="J137" s="13"/>
    </row>
    <row r="138" spans="1:10">
      <c r="A138" s="83">
        <v>45986</v>
      </c>
      <c r="B138" s="74"/>
      <c r="C138" s="77"/>
      <c r="D138" s="13"/>
      <c r="E138" s="13"/>
      <c r="F138" s="13"/>
      <c r="G138" s="11"/>
      <c r="H138" s="13"/>
      <c r="I138" s="13"/>
      <c r="J138" s="13"/>
    </row>
    <row r="139" spans="1:10">
      <c r="A139" s="83">
        <v>45987</v>
      </c>
      <c r="B139" s="74"/>
      <c r="C139" s="77"/>
      <c r="D139" s="13"/>
      <c r="E139" s="13"/>
      <c r="F139" s="13"/>
      <c r="G139" s="11"/>
      <c r="H139" s="13"/>
      <c r="I139" s="13"/>
      <c r="J139" s="13"/>
    </row>
    <row r="140" spans="1:10">
      <c r="A140" s="83">
        <v>45988</v>
      </c>
      <c r="B140" s="74"/>
      <c r="C140" s="77"/>
      <c r="D140" s="13"/>
      <c r="E140" s="13"/>
      <c r="F140" s="13"/>
      <c r="G140" s="11"/>
      <c r="H140" s="13"/>
      <c r="I140" s="13"/>
      <c r="J140" s="13"/>
    </row>
    <row r="141" spans="1:10">
      <c r="A141" s="83">
        <v>45989</v>
      </c>
      <c r="B141" s="74"/>
      <c r="C141" s="77"/>
      <c r="D141" s="13"/>
      <c r="E141" s="13"/>
      <c r="F141" s="13"/>
      <c r="G141" s="11"/>
      <c r="H141" s="13"/>
      <c r="I141" s="13"/>
      <c r="J141" s="13"/>
    </row>
    <row r="142" spans="1:10">
      <c r="A142" s="83">
        <v>45990</v>
      </c>
      <c r="B142" s="74"/>
      <c r="C142" s="77"/>
      <c r="D142" s="13"/>
      <c r="E142" s="13"/>
      <c r="F142" s="13"/>
      <c r="G142" s="11"/>
      <c r="H142" s="13"/>
      <c r="I142" s="13"/>
      <c r="J142" s="13"/>
    </row>
    <row r="143" spans="1:10">
      <c r="A143" s="84">
        <v>45991</v>
      </c>
      <c r="B143" s="85"/>
      <c r="C143" s="76"/>
      <c r="D143" s="20"/>
      <c r="E143" s="20"/>
      <c r="F143" s="20"/>
      <c r="G143" s="11"/>
      <c r="H143" s="20"/>
      <c r="I143" s="20"/>
      <c r="J143" s="20"/>
    </row>
    <row r="144" spans="1:10">
      <c r="A144" s="83">
        <v>45992</v>
      </c>
      <c r="B144" s="74"/>
      <c r="C144" s="77"/>
      <c r="D144" s="13"/>
      <c r="E144" s="13"/>
      <c r="F144" s="13"/>
      <c r="G144" s="11"/>
      <c r="H144" s="13"/>
      <c r="I144" s="13"/>
      <c r="J144" s="13"/>
    </row>
    <row r="145" spans="1:10">
      <c r="A145" s="83">
        <v>45993</v>
      </c>
      <c r="B145" s="74"/>
      <c r="C145" s="77" t="s">
        <v>32</v>
      </c>
      <c r="D145" s="13"/>
      <c r="E145" s="13"/>
      <c r="F145" s="13"/>
      <c r="G145" s="11"/>
      <c r="H145" s="13"/>
      <c r="I145" s="13"/>
      <c r="J145" s="13"/>
    </row>
    <row r="146" spans="1:10">
      <c r="A146" s="83">
        <v>45994</v>
      </c>
      <c r="B146" s="74"/>
      <c r="C146" s="77" t="s">
        <v>33</v>
      </c>
      <c r="D146" s="13"/>
      <c r="E146" s="13"/>
      <c r="F146" s="13"/>
      <c r="G146" s="11"/>
      <c r="H146" s="13"/>
      <c r="I146" s="13"/>
      <c r="J146" s="13"/>
    </row>
    <row r="147" spans="1:10">
      <c r="A147" s="83">
        <v>45995</v>
      </c>
      <c r="B147" s="74"/>
      <c r="C147" s="77" t="s">
        <v>34</v>
      </c>
      <c r="D147" s="13"/>
      <c r="E147" s="13"/>
      <c r="F147" s="13"/>
      <c r="G147" s="11"/>
      <c r="H147" s="13"/>
      <c r="I147" s="13"/>
      <c r="J147" s="13"/>
    </row>
    <row r="148" spans="1:10">
      <c r="A148" s="83">
        <v>45996</v>
      </c>
      <c r="B148" s="74"/>
      <c r="C148" s="77" t="s">
        <v>32</v>
      </c>
      <c r="D148" s="13"/>
      <c r="E148" s="13"/>
      <c r="F148" s="13"/>
      <c r="G148" s="11"/>
      <c r="H148" s="13"/>
      <c r="I148" s="13"/>
      <c r="J148" s="13"/>
    </row>
    <row r="149" spans="1:10">
      <c r="A149" s="83">
        <v>45997</v>
      </c>
      <c r="B149" s="74"/>
      <c r="C149" s="77" t="s">
        <v>33</v>
      </c>
      <c r="D149" s="13"/>
      <c r="E149" s="13"/>
      <c r="F149" s="13"/>
      <c r="G149" s="11"/>
      <c r="H149" s="13"/>
      <c r="I149" s="13"/>
      <c r="J149" s="13"/>
    </row>
    <row r="150" spans="1:10">
      <c r="A150" s="84">
        <v>45998</v>
      </c>
      <c r="B150" s="85"/>
      <c r="C150" s="76" t="s">
        <v>34</v>
      </c>
      <c r="D150" s="20"/>
      <c r="E150" s="20"/>
      <c r="F150" s="20"/>
      <c r="G150" s="11"/>
      <c r="H150" s="20"/>
      <c r="I150" s="20"/>
      <c r="J150" s="20"/>
    </row>
    <row r="151" spans="1:10">
      <c r="A151" s="83">
        <v>45999</v>
      </c>
      <c r="B151" s="74"/>
      <c r="C151" s="77" t="s">
        <v>32</v>
      </c>
      <c r="D151" s="13"/>
      <c r="E151" s="13"/>
      <c r="F151" s="13"/>
      <c r="G151" s="11"/>
      <c r="H151" s="13"/>
      <c r="I151" s="13"/>
      <c r="J151" s="13"/>
    </row>
    <row r="152" spans="1:10">
      <c r="A152" s="83">
        <v>46000</v>
      </c>
      <c r="B152" s="74"/>
      <c r="C152" s="77" t="s">
        <v>33</v>
      </c>
      <c r="D152" s="13"/>
      <c r="E152" s="13"/>
      <c r="F152" s="13"/>
      <c r="G152" s="11"/>
      <c r="H152" s="13"/>
      <c r="I152" s="13"/>
      <c r="J152" s="13"/>
    </row>
    <row r="153" spans="1:10">
      <c r="A153" s="83">
        <v>46001</v>
      </c>
      <c r="B153" s="74"/>
      <c r="C153" s="77" t="s">
        <v>34</v>
      </c>
      <c r="D153" s="13"/>
      <c r="E153" s="13"/>
      <c r="F153" s="13"/>
      <c r="G153" s="11"/>
      <c r="H153" s="13"/>
      <c r="I153" s="13"/>
      <c r="J153" s="13"/>
    </row>
    <row r="154" spans="1:10">
      <c r="A154" s="83">
        <v>46002</v>
      </c>
      <c r="B154" s="74"/>
      <c r="C154" s="77" t="s">
        <v>32</v>
      </c>
      <c r="D154" s="13"/>
      <c r="E154" s="13"/>
      <c r="F154" s="13"/>
      <c r="G154" s="11"/>
      <c r="H154" s="13"/>
      <c r="I154" s="13"/>
      <c r="J154" s="13"/>
    </row>
    <row r="155" spans="1:10">
      <c r="A155" s="83">
        <v>46003</v>
      </c>
      <c r="B155" s="74"/>
      <c r="C155" s="77" t="s">
        <v>33</v>
      </c>
      <c r="D155" s="13"/>
      <c r="E155" s="13"/>
      <c r="F155" s="13"/>
      <c r="G155" s="11"/>
      <c r="H155" s="13"/>
      <c r="I155" s="13"/>
      <c r="J155" s="13"/>
    </row>
    <row r="156" spans="1:10">
      <c r="A156" s="83">
        <v>46004</v>
      </c>
      <c r="B156" s="74"/>
      <c r="C156" s="77" t="s">
        <v>34</v>
      </c>
      <c r="D156" s="13"/>
      <c r="E156" s="13"/>
      <c r="F156" s="13"/>
      <c r="G156" s="11"/>
      <c r="H156" s="13"/>
      <c r="I156" s="13"/>
      <c r="J156" s="13"/>
    </row>
    <row r="157" spans="1:10">
      <c r="A157" s="84">
        <v>46005</v>
      </c>
      <c r="B157" s="85"/>
      <c r="C157" s="76" t="s">
        <v>32</v>
      </c>
      <c r="D157" s="20"/>
      <c r="E157" s="20"/>
      <c r="F157" s="20"/>
      <c r="G157" s="11"/>
      <c r="H157" s="20"/>
      <c r="I157" s="20"/>
      <c r="J157" s="20"/>
    </row>
    <row r="158" spans="1:10">
      <c r="A158" s="83">
        <v>46006</v>
      </c>
      <c r="B158" s="74"/>
      <c r="C158" s="77" t="s">
        <v>33</v>
      </c>
      <c r="D158" s="13"/>
      <c r="E158" s="13"/>
      <c r="F158" s="13"/>
      <c r="G158" s="11"/>
      <c r="H158" s="13"/>
      <c r="I158" s="13"/>
      <c r="J158" s="13"/>
    </row>
    <row r="159" spans="1:10">
      <c r="A159" s="83">
        <v>46007</v>
      </c>
      <c r="B159" s="74"/>
      <c r="C159" s="77" t="s">
        <v>34</v>
      </c>
      <c r="D159" s="13"/>
      <c r="E159" s="13"/>
      <c r="F159" s="13"/>
      <c r="G159" s="11"/>
      <c r="H159" s="13"/>
      <c r="I159" s="13"/>
      <c r="J159" s="13"/>
    </row>
    <row r="160" spans="1:10">
      <c r="A160" s="83">
        <v>46008</v>
      </c>
      <c r="B160" s="74"/>
      <c r="C160" s="77" t="s">
        <v>32</v>
      </c>
      <c r="D160" s="13"/>
      <c r="E160" s="13"/>
      <c r="F160" s="13"/>
      <c r="G160" s="11"/>
      <c r="H160" s="13"/>
      <c r="I160" s="13"/>
      <c r="J160" s="13"/>
    </row>
    <row r="161" spans="1:10">
      <c r="A161" s="83">
        <v>46009</v>
      </c>
      <c r="B161" s="74"/>
      <c r="C161" s="77" t="s">
        <v>33</v>
      </c>
      <c r="D161" s="13"/>
      <c r="E161" s="13"/>
      <c r="F161" s="13"/>
      <c r="G161" s="11"/>
      <c r="H161" s="13"/>
      <c r="I161" s="13"/>
      <c r="J161" s="13"/>
    </row>
    <row r="162" spans="1:10">
      <c r="A162" s="83">
        <v>46010</v>
      </c>
      <c r="B162" s="74"/>
      <c r="C162" s="77" t="s">
        <v>34</v>
      </c>
      <c r="D162" s="13"/>
      <c r="E162" s="13"/>
      <c r="F162" s="13"/>
      <c r="G162" s="11"/>
      <c r="H162" s="13"/>
      <c r="I162" s="13"/>
      <c r="J162" s="13"/>
    </row>
    <row r="163" spans="1:10">
      <c r="A163" s="83">
        <v>46011</v>
      </c>
      <c r="B163" s="74"/>
      <c r="C163" s="77" t="s">
        <v>35</v>
      </c>
      <c r="D163" s="13"/>
      <c r="E163" s="13"/>
      <c r="F163" s="13"/>
      <c r="G163" s="11"/>
      <c r="H163" s="13"/>
      <c r="I163" s="13"/>
      <c r="J163" s="13"/>
    </row>
    <row r="164" spans="1:10">
      <c r="A164" s="84">
        <v>46012</v>
      </c>
      <c r="B164" s="85"/>
      <c r="C164" s="76"/>
      <c r="D164" s="20"/>
      <c r="E164" s="20"/>
      <c r="F164" s="20"/>
      <c r="G164" s="11"/>
      <c r="H164" s="20"/>
      <c r="I164" s="20"/>
      <c r="J164" s="20"/>
    </row>
    <row r="165" spans="1:10">
      <c r="A165" s="83">
        <v>46013</v>
      </c>
      <c r="B165" s="74"/>
      <c r="C165" s="77" t="s">
        <v>28</v>
      </c>
      <c r="D165" s="13"/>
      <c r="E165" s="13"/>
      <c r="F165" s="13"/>
      <c r="G165" s="11"/>
      <c r="H165" s="13"/>
      <c r="I165" s="13"/>
      <c r="J165" s="13"/>
    </row>
    <row r="166" spans="1:10">
      <c r="A166" s="83">
        <v>46014</v>
      </c>
      <c r="B166" s="74"/>
      <c r="C166" s="77" t="s">
        <v>35</v>
      </c>
      <c r="D166" s="13"/>
      <c r="E166" s="13"/>
      <c r="F166" s="13"/>
      <c r="G166" s="11"/>
      <c r="H166" s="13"/>
      <c r="I166" s="13"/>
      <c r="J166" s="13"/>
    </row>
    <row r="167" spans="1:10">
      <c r="A167" s="83">
        <v>46015</v>
      </c>
      <c r="B167" s="74"/>
      <c r="C167" s="77" t="s">
        <v>28</v>
      </c>
      <c r="D167" s="13"/>
      <c r="E167" s="13"/>
      <c r="F167" s="13"/>
      <c r="G167" s="11"/>
      <c r="H167" s="13"/>
      <c r="I167" s="13"/>
      <c r="J167" s="13"/>
    </row>
    <row r="168" spans="1:10">
      <c r="A168" s="83">
        <v>46016</v>
      </c>
      <c r="B168" s="74"/>
      <c r="C168" s="77" t="s">
        <v>36</v>
      </c>
      <c r="D168" s="13"/>
      <c r="E168" s="13"/>
      <c r="F168" s="13"/>
      <c r="G168" s="11"/>
      <c r="H168" s="13"/>
      <c r="I168" s="13"/>
      <c r="J168" s="13"/>
    </row>
    <row r="169" spans="1:10">
      <c r="A169" s="83">
        <v>46017</v>
      </c>
      <c r="B169" s="74"/>
      <c r="C169" s="77" t="s">
        <v>28</v>
      </c>
      <c r="D169" s="13"/>
      <c r="E169" s="13"/>
      <c r="F169" s="13"/>
      <c r="G169" s="11"/>
      <c r="H169" s="13"/>
      <c r="I169" s="13"/>
      <c r="J169" s="13"/>
    </row>
    <row r="170" spans="1:10">
      <c r="A170" s="83">
        <v>46018</v>
      </c>
      <c r="B170" s="74"/>
      <c r="C170" s="86" t="s">
        <v>35</v>
      </c>
      <c r="D170" s="13"/>
      <c r="E170" s="13"/>
      <c r="F170" s="13"/>
      <c r="G170" s="11"/>
      <c r="H170" s="13"/>
      <c r="I170" s="13"/>
      <c r="J170" s="13"/>
    </row>
    <row r="171" spans="1:10">
      <c r="A171" s="84">
        <v>46019</v>
      </c>
      <c r="B171" s="85"/>
      <c r="C171" s="76" t="s">
        <v>28</v>
      </c>
      <c r="D171" s="20"/>
      <c r="E171" s="20"/>
      <c r="F171" s="20"/>
      <c r="G171" s="11"/>
      <c r="H171" s="20"/>
      <c r="I171" s="20"/>
      <c r="J171" s="20"/>
    </row>
    <row r="172" spans="1:10">
      <c r="A172" s="83">
        <v>46020</v>
      </c>
      <c r="B172" s="74"/>
      <c r="C172" s="77" t="s">
        <v>35</v>
      </c>
      <c r="D172" s="13"/>
      <c r="E172" s="13"/>
      <c r="F172" s="13"/>
      <c r="G172" s="11"/>
      <c r="H172" s="13"/>
      <c r="I172" s="13"/>
      <c r="J172" s="13"/>
    </row>
    <row r="173" spans="1:10">
      <c r="A173" s="83">
        <v>46021</v>
      </c>
      <c r="B173" s="74"/>
      <c r="C173" s="77" t="s">
        <v>28</v>
      </c>
      <c r="D173" s="13"/>
      <c r="E173" s="13"/>
      <c r="F173" s="13"/>
      <c r="G173" s="11"/>
      <c r="H173" s="13"/>
      <c r="I173" s="13"/>
      <c r="J173" s="13"/>
    </row>
    <row r="174" spans="1:10">
      <c r="A174" s="83">
        <v>46022</v>
      </c>
      <c r="B174" s="74"/>
      <c r="C174" s="77" t="s">
        <v>35</v>
      </c>
      <c r="D174" s="13"/>
      <c r="E174" s="13"/>
      <c r="F174" s="13"/>
      <c r="G174" s="11"/>
      <c r="H174" s="13"/>
      <c r="I174" s="13"/>
      <c r="J174" s="13"/>
    </row>
  </sheetData>
  <mergeCells count="2">
    <mergeCell ref="A1:J1"/>
    <mergeCell ref="A2:J2"/>
  </mergeCells>
  <conditionalFormatting sqref="A4:A174">
    <cfRule type="cellIs" dxfId="29" priority="1" operator="equal">
      <formula>"Sunday"</formula>
    </cfRule>
  </conditionalFormatting>
  <conditionalFormatting sqref="B4:B29 B31:B87 B89:B128">
    <cfRule type="cellIs" dxfId="28" priority="2" operator="equal">
      <formula>"SUNDAY"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9AE7-873B-4A73-AD88-15B3E64F201D}">
  <dimension ref="A1:R52"/>
  <sheetViews>
    <sheetView zoomScale="90" zoomScaleNormal="9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A53" sqref="A53:XFD172"/>
    </sheetView>
  </sheetViews>
  <sheetFormatPr defaultRowHeight="15"/>
  <cols>
    <col min="1" max="1" width="10.140625" style="87" bestFit="1" customWidth="1"/>
    <col min="2" max="2" width="10.85546875" style="88" customWidth="1"/>
    <col min="3" max="3" width="14.5703125" style="108" bestFit="1" customWidth="1"/>
    <col min="4" max="4" width="11.7109375" style="22" bestFit="1" customWidth="1"/>
    <col min="5" max="7" width="11.85546875" style="22" bestFit="1" customWidth="1"/>
    <col min="8" max="9" width="12.5703125" style="22" bestFit="1" customWidth="1"/>
    <col min="10" max="10" width="11.85546875" style="22" bestFit="1" customWidth="1"/>
    <col min="11" max="11" width="14.7109375" style="5" customWidth="1"/>
    <col min="12" max="12" width="11.140625" style="3" bestFit="1" customWidth="1"/>
    <col min="13" max="13" width="9.42578125" style="3" bestFit="1" customWidth="1"/>
    <col min="14" max="14" width="45" style="5" bestFit="1" customWidth="1"/>
    <col min="15" max="15" width="7" style="1" bestFit="1" customWidth="1"/>
    <col min="16" max="16" width="9.140625" style="5" bestFit="1" customWidth="1"/>
    <col min="17" max="17" width="5.140625" style="5" bestFit="1" customWidth="1"/>
    <col min="18" max="18" width="25.28515625" style="5" bestFit="1" customWidth="1"/>
    <col min="19" max="16384" width="9.140625" style="5"/>
  </cols>
  <sheetData>
    <row r="1" spans="1:18" ht="21">
      <c r="A1" s="278" t="s">
        <v>21</v>
      </c>
      <c r="B1" s="278"/>
      <c r="C1" s="278"/>
      <c r="D1" s="278"/>
      <c r="E1" s="278"/>
      <c r="F1" s="278"/>
      <c r="G1" s="278"/>
      <c r="H1" s="278"/>
      <c r="I1" s="278"/>
      <c r="J1" s="278"/>
      <c r="K1" s="2"/>
    </row>
    <row r="2" spans="1:18" ht="18.75">
      <c r="A2" s="279" t="s">
        <v>284</v>
      </c>
      <c r="B2" s="279"/>
      <c r="C2" s="279"/>
      <c r="D2" s="279"/>
      <c r="E2" s="279"/>
      <c r="F2" s="279"/>
      <c r="G2" s="279"/>
      <c r="H2" s="279"/>
      <c r="I2" s="279"/>
      <c r="J2" s="279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6" t="s">
        <v>18</v>
      </c>
      <c r="N3" s="49" t="s">
        <v>1</v>
      </c>
      <c r="O3" s="49" t="s">
        <v>2</v>
      </c>
      <c r="P3" s="4" t="s">
        <v>3</v>
      </c>
      <c r="Q3" s="4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25"/>
      <c r="E4" s="13" t="s">
        <v>103</v>
      </c>
      <c r="F4" s="125"/>
      <c r="G4" s="14"/>
      <c r="H4" s="13" t="s">
        <v>43</v>
      </c>
      <c r="I4" s="125"/>
      <c r="J4" s="13" t="s">
        <v>104</v>
      </c>
      <c r="K4" s="280"/>
      <c r="L4" s="116" t="s">
        <v>87</v>
      </c>
      <c r="M4" s="96" t="s">
        <v>43</v>
      </c>
      <c r="N4" s="117" t="s">
        <v>39</v>
      </c>
      <c r="O4" s="116">
        <v>4</v>
      </c>
      <c r="P4" s="48">
        <f>Q4/1.25</f>
        <v>48</v>
      </c>
      <c r="Q4" s="95">
        <f>O4*15</f>
        <v>60</v>
      </c>
      <c r="R4" s="118" t="s">
        <v>106</v>
      </c>
    </row>
    <row r="5" spans="1:18" ht="15" customHeight="1">
      <c r="A5" s="113">
        <v>46231</v>
      </c>
      <c r="B5" s="13" t="s">
        <v>68</v>
      </c>
      <c r="C5" s="13">
        <f>C4+1</f>
        <v>2</v>
      </c>
      <c r="D5" s="13" t="s">
        <v>45</v>
      </c>
      <c r="E5" s="125"/>
      <c r="F5" s="13" t="s">
        <v>104</v>
      </c>
      <c r="G5" s="14"/>
      <c r="H5" s="125"/>
      <c r="I5" s="13" t="s">
        <v>43</v>
      </c>
      <c r="J5" s="125"/>
      <c r="K5" s="280"/>
      <c r="L5" s="116" t="s">
        <v>88</v>
      </c>
      <c r="M5" s="96" t="s">
        <v>102</v>
      </c>
      <c r="N5" s="117" t="s">
        <v>38</v>
      </c>
      <c r="O5" s="116">
        <v>3</v>
      </c>
      <c r="P5" s="48">
        <f t="shared" ref="P5:P7" si="0">Q5/1.25</f>
        <v>36</v>
      </c>
      <c r="Q5" s="95">
        <f t="shared" ref="Q5:Q7" si="1">O5*15</f>
        <v>45</v>
      </c>
      <c r="R5" s="118" t="s">
        <v>276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25"/>
      <c r="E6" s="13" t="s">
        <v>64</v>
      </c>
      <c r="F6" s="125"/>
      <c r="G6" s="14"/>
      <c r="H6" s="13" t="s">
        <v>104</v>
      </c>
      <c r="I6" s="125"/>
      <c r="J6" s="13" t="s">
        <v>103</v>
      </c>
      <c r="L6" s="116" t="s">
        <v>89</v>
      </c>
      <c r="M6" s="96" t="s">
        <v>64</v>
      </c>
      <c r="N6" s="117" t="s">
        <v>82</v>
      </c>
      <c r="O6" s="116">
        <v>2</v>
      </c>
      <c r="P6" s="48">
        <f t="shared" si="0"/>
        <v>24</v>
      </c>
      <c r="Q6" s="95">
        <f t="shared" si="1"/>
        <v>30</v>
      </c>
      <c r="R6" s="118" t="s">
        <v>97</v>
      </c>
    </row>
    <row r="7" spans="1:18">
      <c r="A7" s="113">
        <v>46233</v>
      </c>
      <c r="B7" s="13" t="s">
        <v>70</v>
      </c>
      <c r="C7" s="13">
        <f t="shared" si="2"/>
        <v>4</v>
      </c>
      <c r="D7" s="13"/>
      <c r="E7" s="125"/>
      <c r="F7" s="13" t="s">
        <v>43</v>
      </c>
      <c r="G7" s="14"/>
      <c r="H7" s="125"/>
      <c r="I7" s="13" t="s">
        <v>102</v>
      </c>
      <c r="J7" s="125"/>
      <c r="L7" s="116" t="s">
        <v>90</v>
      </c>
      <c r="M7" s="96" t="s">
        <v>103</v>
      </c>
      <c r="N7" s="117" t="s">
        <v>83</v>
      </c>
      <c r="O7" s="116">
        <v>3</v>
      </c>
      <c r="P7" s="48">
        <f t="shared" si="0"/>
        <v>36</v>
      </c>
      <c r="Q7" s="95">
        <f t="shared" si="1"/>
        <v>45</v>
      </c>
      <c r="R7" s="118" t="s">
        <v>278</v>
      </c>
    </row>
    <row r="8" spans="1:18">
      <c r="A8" s="113">
        <v>46234</v>
      </c>
      <c r="B8" s="13" t="s">
        <v>71</v>
      </c>
      <c r="C8" s="13">
        <f t="shared" si="2"/>
        <v>5</v>
      </c>
      <c r="D8" s="125"/>
      <c r="E8" s="13" t="s">
        <v>64</v>
      </c>
      <c r="F8" s="11" t="s">
        <v>44</v>
      </c>
      <c r="G8" s="14"/>
      <c r="H8" s="13" t="s">
        <v>102</v>
      </c>
      <c r="I8" s="125"/>
      <c r="J8" s="13"/>
      <c r="K8" s="5" t="s">
        <v>256</v>
      </c>
      <c r="L8" s="116" t="s">
        <v>91</v>
      </c>
      <c r="M8" s="96" t="s">
        <v>214</v>
      </c>
      <c r="N8" s="117" t="s">
        <v>275</v>
      </c>
      <c r="O8" s="116">
        <v>2</v>
      </c>
      <c r="P8" s="7">
        <f>Q8/1.25</f>
        <v>24</v>
      </c>
      <c r="Q8" s="7">
        <f>O8*15</f>
        <v>30</v>
      </c>
      <c r="R8" s="118" t="s">
        <v>279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/>
      <c r="G9" s="14"/>
      <c r="H9" s="13"/>
      <c r="I9" s="13"/>
      <c r="J9" s="109"/>
      <c r="L9" s="116" t="s">
        <v>92</v>
      </c>
      <c r="M9" s="97" t="s">
        <v>104</v>
      </c>
      <c r="N9" s="117" t="s">
        <v>84</v>
      </c>
      <c r="O9" s="116">
        <v>3</v>
      </c>
      <c r="P9" s="7">
        <f t="shared" ref="P9:P11" si="3">Q9/1.25</f>
        <v>36</v>
      </c>
      <c r="Q9" s="7">
        <f>O9*15</f>
        <v>45</v>
      </c>
      <c r="R9" s="118" t="s">
        <v>99</v>
      </c>
    </row>
    <row r="10" spans="1:18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16" t="s">
        <v>93</v>
      </c>
      <c r="M10" s="98" t="s">
        <v>45</v>
      </c>
      <c r="N10" s="117" t="s">
        <v>85</v>
      </c>
      <c r="O10" s="116">
        <v>2</v>
      </c>
      <c r="P10" s="7">
        <f t="shared" si="3"/>
        <v>24</v>
      </c>
      <c r="Q10" s="7">
        <f t="shared" ref="Q10:Q11" si="4">O10*15</f>
        <v>30</v>
      </c>
      <c r="R10" s="118" t="s">
        <v>100</v>
      </c>
    </row>
    <row r="11" spans="1:18">
      <c r="A11" s="113">
        <v>46237</v>
      </c>
      <c r="B11" s="13" t="s">
        <v>67</v>
      </c>
      <c r="C11" s="171">
        <f>C9+1</f>
        <v>7</v>
      </c>
      <c r="D11" s="125"/>
      <c r="E11" s="13" t="s">
        <v>103</v>
      </c>
      <c r="F11" s="125"/>
      <c r="G11" s="14"/>
      <c r="H11" s="13" t="s">
        <v>43</v>
      </c>
      <c r="I11" s="125" t="s">
        <v>104</v>
      </c>
      <c r="J11" s="20"/>
      <c r="K11" s="5" t="s">
        <v>267</v>
      </c>
      <c r="L11" s="116" t="s">
        <v>94</v>
      </c>
      <c r="M11" s="51" t="s">
        <v>44</v>
      </c>
      <c r="N11" s="117" t="s">
        <v>86</v>
      </c>
      <c r="O11" s="116">
        <v>3</v>
      </c>
      <c r="P11" s="7">
        <f t="shared" si="3"/>
        <v>36</v>
      </c>
      <c r="Q11" s="7">
        <f t="shared" si="4"/>
        <v>45</v>
      </c>
      <c r="R11" s="118" t="s">
        <v>109</v>
      </c>
    </row>
    <row r="12" spans="1:18">
      <c r="A12" s="113">
        <v>46238</v>
      </c>
      <c r="B12" s="13" t="s">
        <v>68</v>
      </c>
      <c r="C12" s="171">
        <f>C11+1</f>
        <v>8</v>
      </c>
      <c r="D12" s="20"/>
      <c r="E12" s="125"/>
      <c r="F12" s="13" t="s">
        <v>104</v>
      </c>
      <c r="G12" s="14"/>
      <c r="H12" s="125"/>
      <c r="I12" s="13" t="s">
        <v>43</v>
      </c>
      <c r="J12" s="125"/>
      <c r="L12" s="111"/>
      <c r="M12" s="107"/>
      <c r="N12" s="112"/>
      <c r="O12" s="119">
        <f>SUM(O4:O11)</f>
        <v>22</v>
      </c>
      <c r="P12" s="119">
        <f>SUM(P4:P11)</f>
        <v>264</v>
      </c>
      <c r="Q12" s="119">
        <f>SUM(Q4:Q11)</f>
        <v>330</v>
      </c>
      <c r="R12" s="54"/>
    </row>
    <row r="13" spans="1:18">
      <c r="A13" s="113">
        <v>46239</v>
      </c>
      <c r="B13" s="13" t="s">
        <v>69</v>
      </c>
      <c r="C13" s="171">
        <f t="shared" ref="C13:C16" si="5">C12+1</f>
        <v>9</v>
      </c>
      <c r="D13" s="125"/>
      <c r="E13" s="13" t="s">
        <v>64</v>
      </c>
      <c r="F13" s="125"/>
      <c r="G13" s="14"/>
      <c r="H13" s="13" t="s">
        <v>104</v>
      </c>
      <c r="I13" s="20"/>
      <c r="J13" s="13" t="s">
        <v>103</v>
      </c>
    </row>
    <row r="14" spans="1:18">
      <c r="A14" s="113">
        <v>46240</v>
      </c>
      <c r="B14" s="13" t="s">
        <v>70</v>
      </c>
      <c r="C14" s="171">
        <f t="shared" si="5"/>
        <v>10</v>
      </c>
      <c r="D14" s="20"/>
      <c r="E14" s="125"/>
      <c r="F14" s="13" t="s">
        <v>43</v>
      </c>
      <c r="G14" s="14"/>
      <c r="H14" s="125"/>
      <c r="I14" s="13" t="s">
        <v>104</v>
      </c>
      <c r="J14" s="125"/>
    </row>
    <row r="15" spans="1:18">
      <c r="A15" s="113">
        <v>46241</v>
      </c>
      <c r="B15" s="13" t="s">
        <v>71</v>
      </c>
      <c r="C15" s="13">
        <f t="shared" si="5"/>
        <v>11</v>
      </c>
      <c r="D15" s="125"/>
      <c r="E15" s="13" t="s">
        <v>44</v>
      </c>
      <c r="F15" s="125"/>
      <c r="G15" s="14"/>
      <c r="H15" s="13" t="s">
        <v>102</v>
      </c>
      <c r="I15" s="68" t="s">
        <v>64</v>
      </c>
      <c r="J15" s="13"/>
      <c r="K15" s="5" t="s">
        <v>266</v>
      </c>
      <c r="N15" s="28"/>
      <c r="O15" s="5"/>
    </row>
    <row r="16" spans="1:18">
      <c r="A16" s="113">
        <v>46242</v>
      </c>
      <c r="B16" s="13" t="s">
        <v>72</v>
      </c>
      <c r="C16" s="13">
        <f t="shared" si="5"/>
        <v>12</v>
      </c>
      <c r="D16" s="10"/>
      <c r="E16" s="10"/>
      <c r="F16" s="13"/>
      <c r="G16" s="14"/>
      <c r="H16" s="13"/>
      <c r="I16" s="13"/>
      <c r="J16" s="109"/>
      <c r="L16" s="26"/>
      <c r="N16" s="28"/>
      <c r="O16" s="5"/>
    </row>
    <row r="17" spans="1:15" hidden="1">
      <c r="A17" s="113">
        <v>46243</v>
      </c>
      <c r="B17" s="13" t="s">
        <v>73</v>
      </c>
      <c r="C17" s="13"/>
      <c r="D17" s="13"/>
      <c r="E17" s="12"/>
      <c r="F17" s="13"/>
      <c r="G17" s="15"/>
      <c r="H17" s="109"/>
      <c r="I17" s="10"/>
      <c r="J17" s="13"/>
      <c r="N17" s="28"/>
      <c r="O17" s="5"/>
    </row>
    <row r="18" spans="1:15" hidden="1">
      <c r="A18" s="113">
        <v>46244</v>
      </c>
      <c r="B18" s="13" t="s">
        <v>67</v>
      </c>
      <c r="C18" s="13">
        <f>C16+1</f>
        <v>13</v>
      </c>
      <c r="D18" s="125"/>
      <c r="E18" s="13" t="s">
        <v>103</v>
      </c>
      <c r="F18" s="233" t="s">
        <v>44</v>
      </c>
      <c r="G18" s="14"/>
      <c r="H18" s="13" t="s">
        <v>43</v>
      </c>
      <c r="I18" s="125"/>
      <c r="J18" s="11"/>
      <c r="N18" s="28"/>
      <c r="O18" s="5"/>
    </row>
    <row r="19" spans="1:15" hidden="1">
      <c r="A19" s="113">
        <v>46245</v>
      </c>
      <c r="B19" s="13" t="s">
        <v>68</v>
      </c>
      <c r="C19" s="13">
        <f>C18+1</f>
        <v>14</v>
      </c>
      <c r="D19" s="13" t="s">
        <v>45</v>
      </c>
      <c r="E19" s="125"/>
      <c r="F19" s="13" t="s">
        <v>104</v>
      </c>
      <c r="G19" s="14"/>
      <c r="H19" s="125"/>
      <c r="I19" s="13" t="s">
        <v>43</v>
      </c>
      <c r="J19" s="125"/>
      <c r="N19" s="28"/>
      <c r="O19" s="5"/>
    </row>
    <row r="20" spans="1:15" hidden="1">
      <c r="A20" s="113">
        <v>46246</v>
      </c>
      <c r="B20" s="13" t="s">
        <v>69</v>
      </c>
      <c r="C20" s="13">
        <f t="shared" ref="C20:C22" si="6">C19+1</f>
        <v>15</v>
      </c>
      <c r="D20" s="125"/>
      <c r="E20" s="13" t="s">
        <v>64</v>
      </c>
      <c r="F20" s="125"/>
      <c r="G20" s="14"/>
      <c r="H20" s="13" t="s">
        <v>104</v>
      </c>
      <c r="I20" s="125" t="s">
        <v>45</v>
      </c>
      <c r="J20" s="13" t="s">
        <v>103</v>
      </c>
      <c r="N20" s="28"/>
      <c r="O20" s="5"/>
    </row>
    <row r="21" spans="1:15" hidden="1">
      <c r="A21" s="113">
        <v>46247</v>
      </c>
      <c r="B21" s="13" t="s">
        <v>70</v>
      </c>
      <c r="C21" s="13">
        <f t="shared" si="6"/>
        <v>16</v>
      </c>
      <c r="D21" s="233" t="s">
        <v>44</v>
      </c>
      <c r="E21" s="125"/>
      <c r="F21" s="13" t="s">
        <v>43</v>
      </c>
      <c r="G21" s="14"/>
      <c r="H21" s="125"/>
      <c r="I21" s="13" t="s">
        <v>102</v>
      </c>
      <c r="J21" s="125"/>
      <c r="N21" s="28"/>
      <c r="O21" s="5"/>
    </row>
    <row r="22" spans="1:15" hidden="1">
      <c r="A22" s="113">
        <v>46248</v>
      </c>
      <c r="B22" s="13" t="s">
        <v>71</v>
      </c>
      <c r="C22" s="13">
        <f t="shared" si="6"/>
        <v>17</v>
      </c>
      <c r="D22" s="125"/>
      <c r="E22" s="13" t="s">
        <v>64</v>
      </c>
      <c r="F22" s="125"/>
      <c r="G22" s="14"/>
      <c r="H22" s="13" t="s">
        <v>102</v>
      </c>
      <c r="I22" s="125"/>
      <c r="J22" s="13" t="s">
        <v>44</v>
      </c>
      <c r="N22" s="28"/>
      <c r="O22" s="5"/>
    </row>
    <row r="23" spans="1:15" hidden="1">
      <c r="A23" s="113">
        <v>46249</v>
      </c>
      <c r="B23" s="13" t="s">
        <v>72</v>
      </c>
      <c r="C23" s="114" t="s">
        <v>23</v>
      </c>
      <c r="D23" s="10"/>
      <c r="E23" s="10"/>
      <c r="F23" s="13"/>
      <c r="G23" s="14"/>
      <c r="H23" s="13"/>
      <c r="I23" s="13"/>
      <c r="J23" s="109"/>
      <c r="N23" s="28"/>
      <c r="O23" s="5"/>
    </row>
    <row r="24" spans="1:15" hidden="1">
      <c r="A24" s="113">
        <v>46250</v>
      </c>
      <c r="B24" s="13" t="s">
        <v>73</v>
      </c>
      <c r="C24" s="114"/>
      <c r="D24" s="13"/>
      <c r="E24" s="12"/>
      <c r="F24" s="13"/>
      <c r="G24" s="15"/>
      <c r="H24" s="109"/>
      <c r="I24" s="10"/>
      <c r="J24" s="13"/>
      <c r="N24" s="28"/>
      <c r="O24" s="5"/>
    </row>
    <row r="25" spans="1:15" hidden="1">
      <c r="A25" s="113">
        <v>46251</v>
      </c>
      <c r="B25" s="13" t="s">
        <v>67</v>
      </c>
      <c r="C25" s="114">
        <f>C22+1</f>
        <v>18</v>
      </c>
      <c r="D25" s="125"/>
      <c r="E25" s="13" t="s">
        <v>103</v>
      </c>
      <c r="F25" s="125" t="s">
        <v>44</v>
      </c>
      <c r="G25" s="14"/>
      <c r="H25" s="13" t="s">
        <v>43</v>
      </c>
      <c r="I25" s="125"/>
      <c r="J25" s="13"/>
      <c r="K25" s="5" t="s">
        <v>291</v>
      </c>
      <c r="N25" s="28"/>
      <c r="O25" s="5"/>
    </row>
    <row r="26" spans="1:15" hidden="1">
      <c r="A26" s="113">
        <v>46252</v>
      </c>
      <c r="B26" s="13" t="s">
        <v>68</v>
      </c>
      <c r="C26" s="114">
        <f>C25+1</f>
        <v>19</v>
      </c>
      <c r="D26" s="13" t="s">
        <v>45</v>
      </c>
      <c r="E26" s="125"/>
      <c r="F26" s="13" t="s">
        <v>104</v>
      </c>
      <c r="G26" s="14"/>
      <c r="H26" s="125" t="s">
        <v>102</v>
      </c>
      <c r="I26" s="13" t="s">
        <v>43</v>
      </c>
      <c r="J26" s="125"/>
      <c r="N26" s="28"/>
      <c r="O26" s="5"/>
    </row>
    <row r="27" spans="1:15" hidden="1">
      <c r="A27" s="113">
        <v>46253</v>
      </c>
      <c r="B27" s="13" t="s">
        <v>69</v>
      </c>
      <c r="C27" s="114">
        <f t="shared" ref="C27:C30" si="7">C26+1</f>
        <v>20</v>
      </c>
      <c r="D27" s="125"/>
      <c r="E27" s="13" t="s">
        <v>64</v>
      </c>
      <c r="F27" s="125" t="s">
        <v>104</v>
      </c>
      <c r="G27" s="14"/>
      <c r="H27" s="13"/>
      <c r="I27" s="125" t="s">
        <v>45</v>
      </c>
      <c r="J27" s="13" t="s">
        <v>103</v>
      </c>
      <c r="K27" s="5" t="s">
        <v>317</v>
      </c>
      <c r="N27" s="28"/>
      <c r="O27" s="5"/>
    </row>
    <row r="28" spans="1:15" hidden="1">
      <c r="A28" s="113">
        <v>46254</v>
      </c>
      <c r="B28" s="13" t="s">
        <v>70</v>
      </c>
      <c r="C28" s="114">
        <f t="shared" si="7"/>
        <v>21</v>
      </c>
      <c r="D28" s="13" t="s">
        <v>44</v>
      </c>
      <c r="E28" s="125"/>
      <c r="F28" s="13" t="s">
        <v>43</v>
      </c>
      <c r="G28" s="14"/>
      <c r="H28" s="125" t="s">
        <v>104</v>
      </c>
      <c r="I28" s="13" t="s">
        <v>102</v>
      </c>
      <c r="J28" s="125"/>
      <c r="N28" s="28"/>
      <c r="O28" s="5"/>
    </row>
    <row r="29" spans="1:15" hidden="1">
      <c r="A29" s="113">
        <v>46255</v>
      </c>
      <c r="B29" s="13" t="s">
        <v>71</v>
      </c>
      <c r="C29" s="114">
        <f t="shared" si="7"/>
        <v>22</v>
      </c>
      <c r="D29" s="125" t="s">
        <v>102</v>
      </c>
      <c r="E29" s="13" t="s">
        <v>64</v>
      </c>
      <c r="F29" s="125"/>
      <c r="G29" s="14"/>
      <c r="H29" s="13" t="s">
        <v>43</v>
      </c>
      <c r="I29" s="125" t="s">
        <v>103</v>
      </c>
      <c r="J29" s="13" t="s">
        <v>44</v>
      </c>
      <c r="K29" s="5" t="s">
        <v>314</v>
      </c>
      <c r="N29" s="28"/>
      <c r="O29" s="5"/>
    </row>
    <row r="30" spans="1:15" hidden="1">
      <c r="A30" s="113">
        <v>46256</v>
      </c>
      <c r="B30" s="13" t="s">
        <v>72</v>
      </c>
      <c r="C30" s="114">
        <f t="shared" si="7"/>
        <v>23</v>
      </c>
      <c r="D30" s="10"/>
      <c r="E30" s="10"/>
      <c r="F30" s="13"/>
      <c r="G30" s="14"/>
      <c r="H30" s="13"/>
      <c r="I30" s="13"/>
      <c r="J30" s="109"/>
      <c r="N30" s="28"/>
      <c r="O30" s="5"/>
    </row>
    <row r="31" spans="1:15" hidden="1">
      <c r="A31" s="113">
        <v>46257</v>
      </c>
      <c r="B31" s="13" t="s">
        <v>73</v>
      </c>
      <c r="C31" s="114"/>
      <c r="D31" s="13"/>
      <c r="E31" s="12"/>
      <c r="F31" s="13"/>
      <c r="G31" s="15"/>
      <c r="H31" s="109"/>
      <c r="I31" s="13"/>
      <c r="J31" s="13"/>
      <c r="N31" s="28"/>
      <c r="O31" s="5"/>
    </row>
    <row r="32" spans="1:15" hidden="1">
      <c r="A32" s="113">
        <v>46258</v>
      </c>
      <c r="B32" s="13" t="s">
        <v>67</v>
      </c>
      <c r="C32" s="114">
        <f>C29+1</f>
        <v>23</v>
      </c>
      <c r="D32" s="125"/>
      <c r="E32" s="13" t="s">
        <v>103</v>
      </c>
      <c r="F32" s="125" t="s">
        <v>44</v>
      </c>
      <c r="G32" s="14"/>
      <c r="H32" s="13" t="s">
        <v>43</v>
      </c>
      <c r="I32" s="125"/>
      <c r="J32" s="13"/>
      <c r="K32" s="5" t="s">
        <v>291</v>
      </c>
      <c r="N32" s="28"/>
      <c r="O32" s="5"/>
    </row>
    <row r="33" spans="1:18" hidden="1">
      <c r="A33" s="113">
        <v>46259</v>
      </c>
      <c r="B33" s="13" t="s">
        <v>68</v>
      </c>
      <c r="C33" s="114">
        <f>C32+1</f>
        <v>24</v>
      </c>
      <c r="D33" s="13" t="s">
        <v>45</v>
      </c>
      <c r="E33" s="125"/>
      <c r="F33" s="13" t="s">
        <v>104</v>
      </c>
      <c r="G33" s="14"/>
      <c r="H33" s="125" t="s">
        <v>102</v>
      </c>
      <c r="I33" s="13" t="s">
        <v>43</v>
      </c>
      <c r="J33" s="125"/>
      <c r="N33" s="28"/>
      <c r="O33" s="5"/>
    </row>
    <row r="34" spans="1:18" hidden="1">
      <c r="A34" s="113">
        <v>46260</v>
      </c>
      <c r="B34" s="13" t="s">
        <v>69</v>
      </c>
      <c r="C34" s="114">
        <f t="shared" ref="C34:C35" si="8">C33+1</f>
        <v>25</v>
      </c>
      <c r="D34" s="125"/>
      <c r="E34" s="13" t="s">
        <v>64</v>
      </c>
      <c r="F34" s="125" t="s">
        <v>104</v>
      </c>
      <c r="G34" s="14"/>
      <c r="H34" s="13"/>
      <c r="I34" s="125" t="s">
        <v>45</v>
      </c>
      <c r="J34" s="13" t="s">
        <v>103</v>
      </c>
      <c r="K34" s="5" t="s">
        <v>317</v>
      </c>
      <c r="N34" s="28"/>
      <c r="O34" s="5"/>
      <c r="R34" s="1"/>
    </row>
    <row r="35" spans="1:18" hidden="1">
      <c r="A35" s="113">
        <v>46261</v>
      </c>
      <c r="B35" s="13" t="s">
        <v>70</v>
      </c>
      <c r="C35" s="114">
        <f t="shared" si="8"/>
        <v>26</v>
      </c>
      <c r="D35" s="13" t="s">
        <v>44</v>
      </c>
      <c r="E35" s="125"/>
      <c r="F35" s="13" t="s">
        <v>43</v>
      </c>
      <c r="G35" s="14"/>
      <c r="H35" s="125" t="s">
        <v>104</v>
      </c>
      <c r="I35" s="13" t="s">
        <v>102</v>
      </c>
      <c r="J35" s="125"/>
      <c r="N35" s="28"/>
      <c r="O35" s="5"/>
      <c r="Q35" s="1"/>
    </row>
    <row r="36" spans="1:18" hidden="1">
      <c r="A36" s="113">
        <v>46262</v>
      </c>
      <c r="B36" s="13" t="s">
        <v>71</v>
      </c>
      <c r="C36" s="114" t="s">
        <v>22</v>
      </c>
      <c r="D36" s="125"/>
      <c r="E36" s="13"/>
      <c r="F36" s="125"/>
      <c r="G36" s="14"/>
      <c r="H36" s="13"/>
      <c r="I36" s="125"/>
      <c r="J36" s="13"/>
      <c r="O36" s="5"/>
      <c r="Q36" s="1"/>
    </row>
    <row r="37" spans="1:18" hidden="1">
      <c r="A37" s="113">
        <v>46263</v>
      </c>
      <c r="B37" s="13" t="s">
        <v>72</v>
      </c>
      <c r="C37" s="12">
        <f>C35+1</f>
        <v>27</v>
      </c>
      <c r="D37" s="10"/>
      <c r="E37" s="10"/>
      <c r="F37" s="13"/>
      <c r="G37" s="14"/>
      <c r="H37" s="13"/>
      <c r="I37" s="13"/>
      <c r="J37" s="109"/>
      <c r="O37" s="5"/>
      <c r="Q37" s="1"/>
    </row>
    <row r="38" spans="1:18">
      <c r="A38" s="113">
        <v>46264</v>
      </c>
      <c r="B38" s="13" t="s">
        <v>73</v>
      </c>
      <c r="C38" s="115"/>
      <c r="D38" s="13"/>
      <c r="E38" s="13"/>
      <c r="F38" s="13"/>
      <c r="G38" s="15"/>
      <c r="H38" s="109"/>
      <c r="I38" s="10"/>
      <c r="J38" s="13"/>
      <c r="O38" s="5"/>
      <c r="Q38" s="1"/>
    </row>
    <row r="39" spans="1:18">
      <c r="A39" s="113">
        <v>46265</v>
      </c>
      <c r="B39" s="13" t="s">
        <v>67</v>
      </c>
      <c r="C39" s="114">
        <f>C37+1</f>
        <v>28</v>
      </c>
      <c r="D39" s="125"/>
      <c r="E39" s="13" t="s">
        <v>103</v>
      </c>
      <c r="F39" s="125" t="s">
        <v>44</v>
      </c>
      <c r="G39" s="14"/>
      <c r="H39" s="13" t="s">
        <v>43</v>
      </c>
      <c r="I39" s="125"/>
      <c r="J39" s="13"/>
      <c r="K39" s="5" t="s">
        <v>291</v>
      </c>
      <c r="N39" s="28"/>
      <c r="O39" s="5"/>
      <c r="Q39" s="1"/>
    </row>
    <row r="40" spans="1:18">
      <c r="A40" s="113">
        <v>46266</v>
      </c>
      <c r="B40" s="13" t="s">
        <v>68</v>
      </c>
      <c r="C40" s="114">
        <f>C39+1</f>
        <v>29</v>
      </c>
      <c r="D40" s="13" t="s">
        <v>45</v>
      </c>
      <c r="E40" s="125"/>
      <c r="F40" s="13" t="s">
        <v>104</v>
      </c>
      <c r="G40" s="14"/>
      <c r="H40" s="125" t="s">
        <v>102</v>
      </c>
      <c r="I40" s="13" t="s">
        <v>43</v>
      </c>
      <c r="J40" s="125"/>
      <c r="N40" s="1"/>
      <c r="O40" s="5"/>
      <c r="Q40" s="1"/>
    </row>
    <row r="41" spans="1:18">
      <c r="A41" s="113">
        <v>46267</v>
      </c>
      <c r="B41" s="13" t="s">
        <v>69</v>
      </c>
      <c r="C41" s="114">
        <f t="shared" ref="C41:C42" si="9">C40+1</f>
        <v>30</v>
      </c>
      <c r="D41" s="125"/>
      <c r="E41" s="13" t="s">
        <v>64</v>
      </c>
      <c r="F41" s="125" t="s">
        <v>104</v>
      </c>
      <c r="G41" s="14"/>
      <c r="H41" s="13"/>
      <c r="I41" s="125" t="s">
        <v>45</v>
      </c>
      <c r="J41" s="13" t="s">
        <v>103</v>
      </c>
      <c r="K41" s="5" t="s">
        <v>317</v>
      </c>
      <c r="N41" s="1"/>
      <c r="O41" s="5"/>
      <c r="Q41" s="1"/>
    </row>
    <row r="42" spans="1:18">
      <c r="A42" s="113">
        <v>46268</v>
      </c>
      <c r="B42" s="13" t="s">
        <v>70</v>
      </c>
      <c r="C42" s="114">
        <f t="shared" si="9"/>
        <v>31</v>
      </c>
      <c r="D42" s="13" t="s">
        <v>44</v>
      </c>
      <c r="E42" s="125"/>
      <c r="F42" s="13" t="s">
        <v>43</v>
      </c>
      <c r="G42" s="14"/>
      <c r="H42" s="125" t="s">
        <v>104</v>
      </c>
      <c r="I42" s="13" t="s">
        <v>102</v>
      </c>
      <c r="J42" s="125"/>
      <c r="N42" s="1"/>
      <c r="O42" s="5"/>
      <c r="P42" s="1"/>
      <c r="Q42" s="1"/>
      <c r="R42" s="28"/>
    </row>
    <row r="43" spans="1:18">
      <c r="A43" s="113">
        <v>46269</v>
      </c>
      <c r="B43" s="13" t="s">
        <v>71</v>
      </c>
      <c r="C43" s="114" t="s">
        <v>81</v>
      </c>
      <c r="D43" s="125"/>
      <c r="E43" s="13"/>
      <c r="F43" s="125"/>
      <c r="G43" s="14"/>
      <c r="H43" s="13"/>
      <c r="I43" s="125"/>
      <c r="J43" s="13"/>
      <c r="N43" s="1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12">
        <f>C42+1</f>
        <v>32</v>
      </c>
      <c r="D44" s="10"/>
      <c r="E44" s="10"/>
      <c r="F44" s="13"/>
      <c r="G44" s="14"/>
      <c r="H44" s="13"/>
      <c r="I44" s="13"/>
      <c r="J44" s="109"/>
      <c r="N44" s="28"/>
      <c r="O44" s="5"/>
      <c r="P44" s="1"/>
      <c r="Q44" s="1"/>
      <c r="R44" s="3"/>
    </row>
    <row r="45" spans="1:18">
      <c r="A45" s="113">
        <v>46271</v>
      </c>
      <c r="B45" s="13" t="s">
        <v>73</v>
      </c>
      <c r="C45" s="114"/>
      <c r="D45" s="13"/>
      <c r="E45" s="12"/>
      <c r="F45" s="13"/>
      <c r="G45" s="15"/>
      <c r="H45" s="109"/>
      <c r="I45" s="10"/>
      <c r="J45" s="13"/>
      <c r="N45" s="1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114">
        <f>C44+1</f>
        <v>33</v>
      </c>
      <c r="D46" s="125"/>
      <c r="E46" s="13" t="s">
        <v>103</v>
      </c>
      <c r="F46" s="125" t="s">
        <v>44</v>
      </c>
      <c r="G46" s="14"/>
      <c r="H46" s="13" t="s">
        <v>43</v>
      </c>
      <c r="I46" s="125"/>
      <c r="J46" s="13"/>
      <c r="K46" s="5" t="s">
        <v>291</v>
      </c>
      <c r="N46" s="1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114">
        <f>C46+1</f>
        <v>34</v>
      </c>
      <c r="D47" s="13" t="s">
        <v>104</v>
      </c>
      <c r="E47" s="125" t="s">
        <v>64</v>
      </c>
      <c r="F47" s="13" t="s">
        <v>64</v>
      </c>
      <c r="G47" s="14"/>
      <c r="H47" s="125" t="s">
        <v>102</v>
      </c>
      <c r="I47" s="13" t="s">
        <v>43</v>
      </c>
      <c r="J47" s="125"/>
      <c r="K47" s="5" t="s">
        <v>335</v>
      </c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114">
        <f t="shared" ref="C48:C51" si="10">C47+1</f>
        <v>35</v>
      </c>
      <c r="D48" s="125"/>
      <c r="E48" s="13" t="s">
        <v>64</v>
      </c>
      <c r="F48" s="125" t="s">
        <v>104</v>
      </c>
      <c r="G48" s="14"/>
      <c r="H48" s="13"/>
      <c r="I48" s="125" t="s">
        <v>45</v>
      </c>
      <c r="J48" s="13" t="s">
        <v>103</v>
      </c>
      <c r="K48" s="5" t="s">
        <v>317</v>
      </c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114">
        <f t="shared" si="10"/>
        <v>36</v>
      </c>
      <c r="D49" s="13" t="s">
        <v>44</v>
      </c>
      <c r="E49" s="125"/>
      <c r="F49" s="13" t="s">
        <v>43</v>
      </c>
      <c r="G49" s="14"/>
      <c r="H49" s="125" t="s">
        <v>104</v>
      </c>
      <c r="I49" s="13" t="s">
        <v>102</v>
      </c>
      <c r="J49" s="125"/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114">
        <f t="shared" si="10"/>
        <v>37</v>
      </c>
      <c r="D50" s="125" t="s">
        <v>102</v>
      </c>
      <c r="E50" s="13" t="s">
        <v>64</v>
      </c>
      <c r="F50" s="125"/>
      <c r="G50" s="14"/>
      <c r="H50" s="13" t="s">
        <v>43</v>
      </c>
      <c r="I50" s="125" t="s">
        <v>103</v>
      </c>
      <c r="J50" s="13" t="s">
        <v>44</v>
      </c>
      <c r="K50" s="5" t="s">
        <v>314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10"/>
        <v>38</v>
      </c>
      <c r="D51" s="10"/>
      <c r="E51" s="10"/>
      <c r="F51" s="13"/>
      <c r="G51" s="14"/>
      <c r="H51" s="13"/>
      <c r="I51" s="13"/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N52" s="28"/>
      <c r="O52" s="5"/>
      <c r="P52" s="1"/>
      <c r="Q52" s="1"/>
      <c r="R52" s="1"/>
    </row>
  </sheetData>
  <mergeCells count="3">
    <mergeCell ref="A1:J1"/>
    <mergeCell ref="A2:J2"/>
    <mergeCell ref="K4:K5"/>
  </mergeCells>
  <conditionalFormatting sqref="B1:B2 B67:B1048576">
    <cfRule type="cellIs" dxfId="27" priority="3" operator="equal">
      <formula>"Sat"</formula>
    </cfRule>
  </conditionalFormatting>
  <conditionalFormatting sqref="B4:B52">
    <cfRule type="containsText" dxfId="26" priority="1" operator="containsText" text="Sun">
      <formula>NOT(ISERROR(SEARCH("Sun",B4)))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189E-7E13-484F-96CC-75F91B424492}">
  <dimension ref="A1:R38"/>
  <sheetViews>
    <sheetView zoomScale="90" zoomScaleNormal="90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A39" sqref="A39:XFD158"/>
    </sheetView>
  </sheetViews>
  <sheetFormatPr defaultRowHeight="15"/>
  <cols>
    <col min="1" max="1" width="10.140625" style="87" bestFit="1" customWidth="1"/>
    <col min="2" max="2" width="10.85546875" style="88" customWidth="1"/>
    <col min="3" max="3" width="14.5703125" style="108" bestFit="1" customWidth="1"/>
    <col min="4" max="4" width="11.7109375" style="22" bestFit="1" customWidth="1"/>
    <col min="5" max="7" width="11.85546875" style="22" bestFit="1" customWidth="1"/>
    <col min="8" max="9" width="12.5703125" style="22" bestFit="1" customWidth="1"/>
    <col min="10" max="10" width="11.85546875" style="22" bestFit="1" customWidth="1"/>
    <col min="11" max="11" width="13.42578125" style="5" bestFit="1" customWidth="1"/>
    <col min="12" max="12" width="11.140625" style="3" bestFit="1" customWidth="1"/>
    <col min="13" max="13" width="9.42578125" style="3" bestFit="1" customWidth="1"/>
    <col min="14" max="14" width="45" style="5" bestFit="1" customWidth="1"/>
    <col min="15" max="15" width="7" style="1" bestFit="1" customWidth="1"/>
    <col min="16" max="16" width="9.140625" style="5" bestFit="1" customWidth="1"/>
    <col min="17" max="17" width="5.140625" style="5" bestFit="1" customWidth="1"/>
    <col min="18" max="18" width="20.7109375" style="5" bestFit="1" customWidth="1"/>
    <col min="19" max="16384" width="9.140625" style="5"/>
  </cols>
  <sheetData>
    <row r="1" spans="1:18" ht="21">
      <c r="A1" s="278" t="s">
        <v>21</v>
      </c>
      <c r="B1" s="278"/>
      <c r="C1" s="278"/>
      <c r="D1" s="278"/>
      <c r="E1" s="278"/>
      <c r="F1" s="278"/>
      <c r="G1" s="278"/>
      <c r="H1" s="278"/>
      <c r="I1" s="278"/>
      <c r="J1" s="278"/>
      <c r="K1" s="2"/>
    </row>
    <row r="2" spans="1:18" ht="18.75">
      <c r="A2" s="279" t="s">
        <v>324</v>
      </c>
      <c r="B2" s="279"/>
      <c r="C2" s="279"/>
      <c r="D2" s="279"/>
      <c r="E2" s="279"/>
      <c r="F2" s="279"/>
      <c r="G2" s="279"/>
      <c r="H2" s="279"/>
      <c r="I2" s="279"/>
      <c r="J2" s="279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6" t="s">
        <v>18</v>
      </c>
      <c r="N3" s="49" t="s">
        <v>1</v>
      </c>
      <c r="O3" s="49" t="s">
        <v>2</v>
      </c>
      <c r="P3" s="4" t="s">
        <v>3</v>
      </c>
      <c r="Q3" s="4" t="s">
        <v>6</v>
      </c>
      <c r="R3" s="49" t="s">
        <v>4</v>
      </c>
    </row>
    <row r="4" spans="1:18">
      <c r="A4" s="113">
        <v>46244</v>
      </c>
      <c r="B4" s="13" t="s">
        <v>67</v>
      </c>
      <c r="C4" s="13">
        <v>1</v>
      </c>
      <c r="D4" s="13" t="s">
        <v>103</v>
      </c>
      <c r="E4" s="10" t="s">
        <v>102</v>
      </c>
      <c r="F4" s="13" t="s">
        <v>45</v>
      </c>
      <c r="G4" s="14"/>
      <c r="H4" s="13" t="s">
        <v>64</v>
      </c>
      <c r="I4" s="22" t="s">
        <v>43</v>
      </c>
      <c r="J4" s="10"/>
      <c r="K4" s="226" t="s">
        <v>295</v>
      </c>
      <c r="L4" s="116" t="s">
        <v>87</v>
      </c>
      <c r="M4" s="96" t="s">
        <v>43</v>
      </c>
      <c r="N4" s="117" t="s">
        <v>39</v>
      </c>
      <c r="O4" s="116">
        <v>4</v>
      </c>
      <c r="P4" s="48">
        <f>Q4/1.25</f>
        <v>48</v>
      </c>
      <c r="Q4" s="95">
        <f>O4*15</f>
        <v>60</v>
      </c>
      <c r="R4" s="118" t="s">
        <v>227</v>
      </c>
    </row>
    <row r="5" spans="1:18" ht="15" customHeight="1">
      <c r="A5" s="113">
        <v>46245</v>
      </c>
      <c r="B5" s="13" t="s">
        <v>68</v>
      </c>
      <c r="C5" s="13">
        <f>C4+1</f>
        <v>2</v>
      </c>
      <c r="D5" s="10" t="s">
        <v>44</v>
      </c>
      <c r="E5" s="13" t="s">
        <v>103</v>
      </c>
      <c r="F5" s="239" t="s">
        <v>104</v>
      </c>
      <c r="G5" s="14"/>
      <c r="H5" s="22" t="s">
        <v>43</v>
      </c>
      <c r="I5" s="13"/>
      <c r="J5" s="10"/>
      <c r="K5" s="226"/>
      <c r="L5" s="116" t="s">
        <v>88</v>
      </c>
      <c r="M5" s="96" t="s">
        <v>102</v>
      </c>
      <c r="N5" s="117" t="s">
        <v>38</v>
      </c>
      <c r="O5" s="116">
        <v>3</v>
      </c>
      <c r="P5" s="48">
        <f t="shared" ref="P5:P7" si="0">Q5/1.25</f>
        <v>36</v>
      </c>
      <c r="Q5" s="95">
        <f t="shared" ref="Q5:Q7" si="1">O5*15</f>
        <v>45</v>
      </c>
      <c r="R5" s="118" t="s">
        <v>110</v>
      </c>
    </row>
    <row r="6" spans="1:18">
      <c r="A6" s="113">
        <v>46246</v>
      </c>
      <c r="B6" s="13" t="s">
        <v>69</v>
      </c>
      <c r="C6" s="13">
        <f t="shared" ref="C6:C8" si="2">C5+1</f>
        <v>3</v>
      </c>
      <c r="D6" s="10" t="s">
        <v>102</v>
      </c>
      <c r="E6" s="13" t="s">
        <v>43</v>
      </c>
      <c r="F6" s="22" t="s">
        <v>104</v>
      </c>
      <c r="G6" s="14"/>
      <c r="H6" s="13" t="s">
        <v>44</v>
      </c>
      <c r="I6" s="13"/>
      <c r="J6" s="10"/>
      <c r="L6" s="116" t="s">
        <v>89</v>
      </c>
      <c r="M6" s="96" t="s">
        <v>64</v>
      </c>
      <c r="N6" s="117" t="s">
        <v>82</v>
      </c>
      <c r="O6" s="116">
        <v>2</v>
      </c>
      <c r="P6" s="48">
        <f t="shared" si="0"/>
        <v>24</v>
      </c>
      <c r="Q6" s="95">
        <f t="shared" si="1"/>
        <v>30</v>
      </c>
      <c r="R6" s="118" t="s">
        <v>278</v>
      </c>
    </row>
    <row r="7" spans="1:18">
      <c r="A7" s="113">
        <v>46247</v>
      </c>
      <c r="B7" s="13" t="s">
        <v>70</v>
      </c>
      <c r="C7" s="171">
        <f t="shared" si="2"/>
        <v>4</v>
      </c>
      <c r="D7" s="10" t="s">
        <v>104</v>
      </c>
      <c r="E7" s="10" t="s">
        <v>64</v>
      </c>
      <c r="F7" s="13" t="s">
        <v>44</v>
      </c>
      <c r="G7" s="14"/>
      <c r="H7" s="13"/>
      <c r="I7" s="13" t="s">
        <v>103</v>
      </c>
      <c r="J7" s="10"/>
      <c r="L7" s="116" t="s">
        <v>90</v>
      </c>
      <c r="M7" s="96" t="s">
        <v>103</v>
      </c>
      <c r="N7" s="117" t="s">
        <v>83</v>
      </c>
      <c r="O7" s="116">
        <v>3</v>
      </c>
      <c r="P7" s="48">
        <f t="shared" si="0"/>
        <v>36</v>
      </c>
      <c r="Q7" s="95">
        <f t="shared" si="1"/>
        <v>45</v>
      </c>
      <c r="R7" s="118" t="s">
        <v>278</v>
      </c>
    </row>
    <row r="8" spans="1:18">
      <c r="A8" s="113">
        <v>46248</v>
      </c>
      <c r="B8" s="13" t="s">
        <v>71</v>
      </c>
      <c r="C8" s="171">
        <f t="shared" si="2"/>
        <v>5</v>
      </c>
      <c r="D8" s="10"/>
      <c r="E8" s="10" t="s">
        <v>43</v>
      </c>
      <c r="F8" s="13" t="s">
        <v>45</v>
      </c>
      <c r="G8" s="14"/>
      <c r="H8" s="13" t="s">
        <v>102</v>
      </c>
      <c r="I8" s="13" t="s">
        <v>104</v>
      </c>
      <c r="J8" s="10"/>
      <c r="K8" s="226" t="s">
        <v>295</v>
      </c>
      <c r="L8" s="116" t="s">
        <v>91</v>
      </c>
      <c r="M8" s="96" t="s">
        <v>214</v>
      </c>
      <c r="N8" s="117" t="s">
        <v>275</v>
      </c>
      <c r="O8" s="116">
        <v>2</v>
      </c>
      <c r="P8" s="7">
        <f>Q8/1.25</f>
        <v>24</v>
      </c>
      <c r="Q8" s="7">
        <f>O8*15</f>
        <v>30</v>
      </c>
      <c r="R8" s="118" t="s">
        <v>279</v>
      </c>
    </row>
    <row r="9" spans="1:18">
      <c r="A9" s="113">
        <v>46249</v>
      </c>
      <c r="B9" s="13" t="s">
        <v>72</v>
      </c>
      <c r="C9" s="227" t="s">
        <v>23</v>
      </c>
      <c r="D9" s="10"/>
      <c r="E9" s="10"/>
      <c r="F9" s="13"/>
      <c r="G9" s="14"/>
      <c r="H9" s="13"/>
      <c r="I9" s="13"/>
      <c r="J9" s="109"/>
      <c r="L9" s="116" t="s">
        <v>92</v>
      </c>
      <c r="M9" s="97" t="s">
        <v>104</v>
      </c>
      <c r="N9" s="117" t="s">
        <v>84</v>
      </c>
      <c r="O9" s="116">
        <v>3</v>
      </c>
      <c r="P9" s="7">
        <f t="shared" ref="P9:P11" si="3">Q9/1.25</f>
        <v>36</v>
      </c>
      <c r="Q9" s="7">
        <f>O9*15</f>
        <v>45</v>
      </c>
      <c r="R9" s="118" t="s">
        <v>277</v>
      </c>
    </row>
    <row r="10" spans="1:18">
      <c r="A10" s="113">
        <v>46250</v>
      </c>
      <c r="B10" s="13" t="s">
        <v>73</v>
      </c>
      <c r="C10" s="227"/>
      <c r="D10" s="13"/>
      <c r="E10" s="12"/>
      <c r="F10" s="13"/>
      <c r="G10" s="15"/>
      <c r="H10" s="109"/>
      <c r="I10" s="10"/>
      <c r="J10" s="13"/>
      <c r="L10" s="116" t="s">
        <v>93</v>
      </c>
      <c r="M10" s="98" t="s">
        <v>45</v>
      </c>
      <c r="N10" s="117" t="s">
        <v>85</v>
      </c>
      <c r="O10" s="116">
        <v>2</v>
      </c>
      <c r="P10" s="7">
        <f t="shared" si="3"/>
        <v>24</v>
      </c>
      <c r="Q10" s="7">
        <f t="shared" ref="Q10:Q11" si="4">O10*15</f>
        <v>30</v>
      </c>
      <c r="R10" s="128" t="s">
        <v>231</v>
      </c>
    </row>
    <row r="11" spans="1:18">
      <c r="A11" s="113">
        <v>46251</v>
      </c>
      <c r="B11" s="13" t="s">
        <v>67</v>
      </c>
      <c r="C11" s="227">
        <f>C8+1</f>
        <v>6</v>
      </c>
      <c r="D11" s="13" t="s">
        <v>103</v>
      </c>
      <c r="E11" s="10" t="s">
        <v>102</v>
      </c>
      <c r="F11" s="13" t="s">
        <v>45</v>
      </c>
      <c r="G11" s="14"/>
      <c r="H11" s="13" t="s">
        <v>64</v>
      </c>
      <c r="I11" s="13" t="s">
        <v>43</v>
      </c>
      <c r="J11" s="10"/>
      <c r="K11" s="226" t="s">
        <v>295</v>
      </c>
      <c r="L11" s="116" t="s">
        <v>94</v>
      </c>
      <c r="M11" s="51" t="s">
        <v>44</v>
      </c>
      <c r="N11" s="117" t="s">
        <v>86</v>
      </c>
      <c r="O11" s="116">
        <v>3</v>
      </c>
      <c r="P11" s="7">
        <f t="shared" si="3"/>
        <v>36</v>
      </c>
      <c r="Q11" s="7">
        <f t="shared" si="4"/>
        <v>45</v>
      </c>
      <c r="R11" s="118" t="s">
        <v>105</v>
      </c>
    </row>
    <row r="12" spans="1:18">
      <c r="A12" s="113">
        <v>46252</v>
      </c>
      <c r="B12" s="13" t="s">
        <v>68</v>
      </c>
      <c r="C12" s="227">
        <f>C11+1</f>
        <v>7</v>
      </c>
      <c r="D12" s="10" t="s">
        <v>44</v>
      </c>
      <c r="E12" s="13" t="s">
        <v>103</v>
      </c>
      <c r="F12" s="13" t="s">
        <v>104</v>
      </c>
      <c r="G12" s="14"/>
      <c r="H12" s="13" t="s">
        <v>43</v>
      </c>
      <c r="I12" s="13"/>
      <c r="J12" s="10"/>
      <c r="K12" s="226"/>
      <c r="L12" s="111"/>
      <c r="M12" s="107"/>
      <c r="N12" s="112"/>
      <c r="O12" s="119">
        <f>SUM(O4:O11)</f>
        <v>22</v>
      </c>
      <c r="P12" s="119">
        <f>SUM(P4:P11)</f>
        <v>264</v>
      </c>
      <c r="Q12" s="119">
        <f>SUM(Q4:Q11)</f>
        <v>330</v>
      </c>
      <c r="R12" s="54"/>
    </row>
    <row r="13" spans="1:18">
      <c r="A13" s="113">
        <v>46253</v>
      </c>
      <c r="B13" s="13" t="s">
        <v>69</v>
      </c>
      <c r="C13" s="227">
        <f t="shared" ref="C13:C16" si="5">C12+1</f>
        <v>8</v>
      </c>
      <c r="D13" s="10" t="s">
        <v>102</v>
      </c>
      <c r="E13" s="13" t="s">
        <v>43</v>
      </c>
      <c r="F13" s="13" t="s">
        <v>104</v>
      </c>
      <c r="G13" s="14"/>
      <c r="H13" s="13" t="s">
        <v>44</v>
      </c>
      <c r="I13" s="13"/>
      <c r="J13" s="10"/>
    </row>
    <row r="14" spans="1:18">
      <c r="A14" s="113">
        <v>46254</v>
      </c>
      <c r="B14" s="13" t="s">
        <v>70</v>
      </c>
      <c r="C14" s="227">
        <f t="shared" si="5"/>
        <v>9</v>
      </c>
      <c r="D14" s="10" t="s">
        <v>104</v>
      </c>
      <c r="E14" s="10" t="s">
        <v>64</v>
      </c>
      <c r="F14" s="13" t="s">
        <v>44</v>
      </c>
      <c r="G14" s="14"/>
      <c r="H14" s="13"/>
      <c r="I14" s="13" t="s">
        <v>103</v>
      </c>
      <c r="J14" s="10"/>
    </row>
    <row r="15" spans="1:18">
      <c r="A15" s="113">
        <v>46255</v>
      </c>
      <c r="B15" s="13" t="s">
        <v>71</v>
      </c>
      <c r="C15" s="227">
        <f t="shared" si="5"/>
        <v>10</v>
      </c>
      <c r="D15" s="10"/>
      <c r="E15" s="10" t="s">
        <v>43</v>
      </c>
      <c r="F15" s="13" t="s">
        <v>45</v>
      </c>
      <c r="G15" s="14"/>
      <c r="H15" s="13" t="s">
        <v>102</v>
      </c>
      <c r="I15" s="13" t="s">
        <v>104</v>
      </c>
      <c r="J15" s="10"/>
      <c r="K15" s="240" t="s">
        <v>295</v>
      </c>
      <c r="N15" s="28"/>
      <c r="O15" s="5"/>
    </row>
    <row r="16" spans="1:18">
      <c r="A16" s="113">
        <v>46256</v>
      </c>
      <c r="B16" s="13" t="s">
        <v>72</v>
      </c>
      <c r="C16" s="227">
        <f t="shared" si="5"/>
        <v>11</v>
      </c>
      <c r="D16" s="10"/>
      <c r="E16" s="10"/>
      <c r="F16" s="13"/>
      <c r="G16" s="14"/>
      <c r="H16" s="13"/>
      <c r="I16" s="13"/>
      <c r="J16" s="109"/>
      <c r="L16" s="26"/>
      <c r="N16" s="28"/>
      <c r="O16" s="5"/>
    </row>
    <row r="17" spans="1:15">
      <c r="A17" s="113">
        <v>46257</v>
      </c>
      <c r="B17" s="13" t="s">
        <v>73</v>
      </c>
      <c r="C17" s="227"/>
      <c r="D17" s="13"/>
      <c r="E17" s="12"/>
      <c r="F17" s="13"/>
      <c r="G17" s="15"/>
      <c r="H17" s="109"/>
      <c r="I17" s="13"/>
      <c r="J17" s="13"/>
      <c r="N17" s="28"/>
      <c r="O17" s="5"/>
    </row>
    <row r="18" spans="1:15">
      <c r="A18" s="113">
        <v>46258</v>
      </c>
      <c r="B18" s="13" t="s">
        <v>67</v>
      </c>
      <c r="C18" s="227">
        <f>C15+1</f>
        <v>11</v>
      </c>
      <c r="D18" s="13" t="s">
        <v>103</v>
      </c>
      <c r="E18" s="10" t="s">
        <v>102</v>
      </c>
      <c r="F18" s="13" t="s">
        <v>45</v>
      </c>
      <c r="G18" s="14"/>
      <c r="H18" s="13" t="s">
        <v>64</v>
      </c>
      <c r="I18" s="13" t="s">
        <v>43</v>
      </c>
      <c r="J18" s="10"/>
      <c r="K18" s="240" t="s">
        <v>295</v>
      </c>
      <c r="N18" s="28"/>
      <c r="O18" s="5"/>
    </row>
    <row r="19" spans="1:15">
      <c r="A19" s="113">
        <v>46259</v>
      </c>
      <c r="B19" s="13" t="s">
        <v>68</v>
      </c>
      <c r="C19" s="227">
        <f>C18+1</f>
        <v>12</v>
      </c>
      <c r="D19" s="10" t="s">
        <v>44</v>
      </c>
      <c r="E19" s="13" t="s">
        <v>103</v>
      </c>
      <c r="F19" s="13" t="s">
        <v>104</v>
      </c>
      <c r="G19" s="14"/>
      <c r="H19" s="13" t="s">
        <v>43</v>
      </c>
      <c r="I19" s="13"/>
      <c r="J19" s="10"/>
      <c r="K19" s="240"/>
      <c r="N19" s="28"/>
      <c r="O19" s="5"/>
    </row>
    <row r="20" spans="1:15">
      <c r="A20" s="113">
        <v>46260</v>
      </c>
      <c r="B20" s="13" t="s">
        <v>69</v>
      </c>
      <c r="C20" s="227">
        <f t="shared" ref="C20:C21" si="6">C19+1</f>
        <v>13</v>
      </c>
      <c r="D20" s="10" t="s">
        <v>102</v>
      </c>
      <c r="E20" s="13" t="s">
        <v>43</v>
      </c>
      <c r="F20" s="13" t="s">
        <v>104</v>
      </c>
      <c r="G20" s="14"/>
      <c r="H20" s="13" t="s">
        <v>44</v>
      </c>
      <c r="I20" s="13"/>
      <c r="J20" s="10"/>
      <c r="N20" s="28"/>
      <c r="O20" s="5"/>
    </row>
    <row r="21" spans="1:15">
      <c r="A21" s="113">
        <v>46261</v>
      </c>
      <c r="B21" s="13" t="s">
        <v>70</v>
      </c>
      <c r="C21" s="227">
        <f t="shared" si="6"/>
        <v>14</v>
      </c>
      <c r="D21" s="10" t="s">
        <v>104</v>
      </c>
      <c r="E21" s="10" t="s">
        <v>64</v>
      </c>
      <c r="F21" s="13" t="s">
        <v>44</v>
      </c>
      <c r="G21" s="14"/>
      <c r="H21" s="13" t="s">
        <v>103</v>
      </c>
      <c r="I21" s="13"/>
      <c r="J21" s="10"/>
      <c r="N21" s="28"/>
      <c r="O21" s="5"/>
    </row>
    <row r="22" spans="1:15">
      <c r="A22" s="113">
        <v>46262</v>
      </c>
      <c r="B22" s="13" t="s">
        <v>71</v>
      </c>
      <c r="C22" s="227" t="s">
        <v>22</v>
      </c>
      <c r="D22" s="10"/>
      <c r="E22" s="10"/>
      <c r="F22" s="13"/>
      <c r="G22" s="14"/>
      <c r="H22" s="13"/>
      <c r="I22" s="13"/>
      <c r="J22" s="10"/>
      <c r="K22" s="240" t="s">
        <v>295</v>
      </c>
      <c r="N22" s="28"/>
      <c r="O22" s="5"/>
    </row>
    <row r="23" spans="1:15">
      <c r="A23" s="113">
        <v>46263</v>
      </c>
      <c r="B23" s="13" t="s">
        <v>72</v>
      </c>
      <c r="C23" s="228">
        <f>C21+1</f>
        <v>15</v>
      </c>
      <c r="D23" s="10"/>
      <c r="E23" s="10"/>
      <c r="F23" s="13"/>
      <c r="G23" s="14"/>
      <c r="H23" s="13"/>
      <c r="I23" s="13"/>
      <c r="J23" s="109"/>
      <c r="N23" s="28"/>
      <c r="O23" s="5"/>
    </row>
    <row r="24" spans="1:15">
      <c r="A24" s="113">
        <v>46264</v>
      </c>
      <c r="B24" s="13" t="s">
        <v>73</v>
      </c>
      <c r="C24" s="229"/>
      <c r="D24" s="13"/>
      <c r="E24" s="13"/>
      <c r="F24" s="13"/>
      <c r="G24" s="15"/>
      <c r="H24" s="109"/>
      <c r="I24" s="10"/>
      <c r="J24" s="13"/>
      <c r="N24" s="28"/>
      <c r="O24" s="5"/>
    </row>
    <row r="25" spans="1:15">
      <c r="A25" s="113">
        <v>46265</v>
      </c>
      <c r="B25" s="13" t="s">
        <v>67</v>
      </c>
      <c r="C25" s="227">
        <f>C23+1</f>
        <v>16</v>
      </c>
      <c r="D25" s="13" t="s">
        <v>103</v>
      </c>
      <c r="E25" s="10" t="s">
        <v>102</v>
      </c>
      <c r="F25" s="13" t="s">
        <v>45</v>
      </c>
      <c r="G25" s="14"/>
      <c r="H25" s="13" t="s">
        <v>64</v>
      </c>
      <c r="I25" s="13" t="s">
        <v>43</v>
      </c>
      <c r="J25" s="10"/>
      <c r="K25" s="240" t="s">
        <v>295</v>
      </c>
      <c r="N25" s="28"/>
      <c r="O25" s="5"/>
    </row>
    <row r="26" spans="1:15">
      <c r="A26" s="113">
        <v>46266</v>
      </c>
      <c r="B26" s="13" t="s">
        <v>68</v>
      </c>
      <c r="C26" s="227">
        <f>C25+1</f>
        <v>17</v>
      </c>
      <c r="D26" s="10" t="s">
        <v>44</v>
      </c>
      <c r="E26" s="13" t="s">
        <v>103</v>
      </c>
      <c r="F26" s="13" t="s">
        <v>104</v>
      </c>
      <c r="G26" s="14"/>
      <c r="H26" s="13" t="s">
        <v>43</v>
      </c>
      <c r="I26" s="13"/>
      <c r="J26" s="10"/>
      <c r="K26" s="240"/>
      <c r="N26" s="28"/>
      <c r="O26" s="5"/>
    </row>
    <row r="27" spans="1:15">
      <c r="A27" s="113">
        <v>46267</v>
      </c>
      <c r="B27" s="13" t="s">
        <v>69</v>
      </c>
      <c r="C27" s="227">
        <f t="shared" ref="C27:C28" si="7">C26+1</f>
        <v>18</v>
      </c>
      <c r="D27" s="10" t="s">
        <v>102</v>
      </c>
      <c r="E27" s="13" t="s">
        <v>43</v>
      </c>
      <c r="F27" s="13" t="s">
        <v>104</v>
      </c>
      <c r="G27" s="14"/>
      <c r="H27" s="13" t="s">
        <v>44</v>
      </c>
      <c r="I27" s="13"/>
      <c r="J27" s="10"/>
      <c r="N27" s="28"/>
      <c r="O27" s="5"/>
    </row>
    <row r="28" spans="1:15">
      <c r="A28" s="113">
        <v>46268</v>
      </c>
      <c r="B28" s="13" t="s">
        <v>70</v>
      </c>
      <c r="C28" s="227">
        <f t="shared" si="7"/>
        <v>19</v>
      </c>
      <c r="D28" s="10" t="s">
        <v>104</v>
      </c>
      <c r="E28" s="10" t="s">
        <v>64</v>
      </c>
      <c r="F28" s="13" t="s">
        <v>44</v>
      </c>
      <c r="G28" s="14"/>
      <c r="H28" s="13" t="s">
        <v>103</v>
      </c>
      <c r="I28" s="13"/>
      <c r="J28" s="10"/>
      <c r="N28" s="28"/>
      <c r="O28" s="5"/>
    </row>
    <row r="29" spans="1:15">
      <c r="A29" s="113">
        <v>46269</v>
      </c>
      <c r="B29" s="13" t="s">
        <v>71</v>
      </c>
      <c r="C29" s="227" t="s">
        <v>81</v>
      </c>
      <c r="D29" s="10"/>
      <c r="E29" s="10"/>
      <c r="F29" s="13"/>
      <c r="G29" s="14"/>
      <c r="H29" s="13"/>
      <c r="I29" s="13"/>
      <c r="J29" s="10"/>
      <c r="K29" s="240"/>
      <c r="N29" s="28"/>
      <c r="O29" s="5"/>
    </row>
    <row r="30" spans="1:15">
      <c r="A30" s="113">
        <v>46270</v>
      </c>
      <c r="B30" s="13" t="s">
        <v>72</v>
      </c>
      <c r="C30" s="228">
        <f>C28+1</f>
        <v>20</v>
      </c>
      <c r="D30" s="10"/>
      <c r="E30" s="10"/>
      <c r="F30" s="13"/>
      <c r="G30" s="14"/>
      <c r="H30" s="13"/>
      <c r="I30" s="13"/>
      <c r="J30" s="109"/>
      <c r="N30" s="28"/>
      <c r="O30" s="5"/>
    </row>
    <row r="31" spans="1:15">
      <c r="A31" s="113">
        <v>46271</v>
      </c>
      <c r="B31" s="13" t="s">
        <v>73</v>
      </c>
      <c r="C31" s="227"/>
      <c r="D31" s="13"/>
      <c r="E31" s="12"/>
      <c r="F31" s="13"/>
      <c r="G31" s="15"/>
      <c r="H31" s="109"/>
      <c r="I31" s="10"/>
      <c r="J31" s="13"/>
      <c r="N31" s="28"/>
      <c r="O31" s="5"/>
    </row>
    <row r="32" spans="1:15">
      <c r="A32" s="113">
        <v>46272</v>
      </c>
      <c r="B32" s="13" t="s">
        <v>67</v>
      </c>
      <c r="C32" s="227">
        <f>C30+1</f>
        <v>21</v>
      </c>
      <c r="D32" s="13" t="s">
        <v>103</v>
      </c>
      <c r="E32" s="10" t="s">
        <v>102</v>
      </c>
      <c r="F32" s="13" t="s">
        <v>45</v>
      </c>
      <c r="G32" s="14"/>
      <c r="H32" s="13" t="s">
        <v>64</v>
      </c>
      <c r="I32" s="13" t="s">
        <v>43</v>
      </c>
      <c r="J32" s="10"/>
      <c r="K32" s="240" t="s">
        <v>295</v>
      </c>
      <c r="N32" s="28"/>
      <c r="O32" s="5"/>
    </row>
    <row r="33" spans="1:18">
      <c r="A33" s="113">
        <v>46273</v>
      </c>
      <c r="B33" s="13" t="s">
        <v>68</v>
      </c>
      <c r="C33" s="227">
        <f>C32+1</f>
        <v>22</v>
      </c>
      <c r="D33" s="10" t="s">
        <v>44</v>
      </c>
      <c r="E33" s="13" t="s">
        <v>103</v>
      </c>
      <c r="F33" s="13" t="s">
        <v>104</v>
      </c>
      <c r="G33" s="14"/>
      <c r="H33" s="13" t="s">
        <v>43</v>
      </c>
      <c r="I33" s="13"/>
      <c r="J33" s="10"/>
      <c r="K33" s="240"/>
      <c r="N33" s="28"/>
      <c r="O33" s="5"/>
    </row>
    <row r="34" spans="1:18">
      <c r="A34" s="113">
        <v>46274</v>
      </c>
      <c r="B34" s="13" t="s">
        <v>69</v>
      </c>
      <c r="C34" s="227">
        <f t="shared" ref="C34:C37" si="8">C33+1</f>
        <v>23</v>
      </c>
      <c r="D34" s="10" t="s">
        <v>102</v>
      </c>
      <c r="E34" s="13" t="s">
        <v>43</v>
      </c>
      <c r="F34" s="13" t="s">
        <v>104</v>
      </c>
      <c r="G34" s="14"/>
      <c r="H34" s="13" t="s">
        <v>44</v>
      </c>
      <c r="I34" s="13"/>
      <c r="J34" s="10"/>
      <c r="K34" s="5" t="s">
        <v>336</v>
      </c>
      <c r="N34" s="28"/>
      <c r="O34" s="5"/>
      <c r="R34" s="1"/>
    </row>
    <row r="35" spans="1:18">
      <c r="A35" s="113">
        <v>46275</v>
      </c>
      <c r="B35" s="13" t="s">
        <v>70</v>
      </c>
      <c r="C35" s="227">
        <f t="shared" si="8"/>
        <v>24</v>
      </c>
      <c r="D35" s="10" t="s">
        <v>104</v>
      </c>
      <c r="E35" s="10" t="s">
        <v>64</v>
      </c>
      <c r="F35" s="13" t="s">
        <v>44</v>
      </c>
      <c r="G35" s="14"/>
      <c r="H35" s="13" t="s">
        <v>103</v>
      </c>
      <c r="I35" s="13"/>
      <c r="J35" s="10"/>
      <c r="N35" s="28"/>
      <c r="O35" s="5"/>
      <c r="Q35" s="1"/>
    </row>
    <row r="36" spans="1:18">
      <c r="A36" s="113">
        <v>46276</v>
      </c>
      <c r="B36" s="13" t="s">
        <v>71</v>
      </c>
      <c r="C36" s="227">
        <f t="shared" si="8"/>
        <v>25</v>
      </c>
      <c r="D36" s="10"/>
      <c r="E36" s="10" t="s">
        <v>43</v>
      </c>
      <c r="F36" s="13" t="s">
        <v>45</v>
      </c>
      <c r="G36" s="14"/>
      <c r="H36" s="13" t="s">
        <v>102</v>
      </c>
      <c r="I36" s="13"/>
      <c r="J36" s="10"/>
      <c r="K36" s="240" t="s">
        <v>295</v>
      </c>
      <c r="O36" s="5"/>
      <c r="Q36" s="1"/>
    </row>
    <row r="37" spans="1:18">
      <c r="A37" s="113">
        <v>46277</v>
      </c>
      <c r="B37" s="13" t="s">
        <v>72</v>
      </c>
      <c r="C37" s="114">
        <f t="shared" si="8"/>
        <v>26</v>
      </c>
      <c r="D37" s="10"/>
      <c r="E37" s="10"/>
      <c r="F37" s="13"/>
      <c r="G37" s="14"/>
      <c r="H37" s="13"/>
      <c r="I37" s="13"/>
      <c r="J37" s="109"/>
      <c r="O37" s="5"/>
      <c r="Q37" s="1"/>
    </row>
    <row r="38" spans="1:18">
      <c r="A38" s="113">
        <v>46278</v>
      </c>
      <c r="B38" s="13" t="s">
        <v>73</v>
      </c>
      <c r="C38" s="114"/>
      <c r="D38" s="13"/>
      <c r="E38" s="12"/>
      <c r="F38" s="13"/>
      <c r="G38" s="15"/>
      <c r="H38" s="109"/>
      <c r="I38" s="10"/>
      <c r="J38" s="13"/>
      <c r="O38" s="5"/>
      <c r="Q38" s="1"/>
    </row>
  </sheetData>
  <mergeCells count="2">
    <mergeCell ref="A1:J1"/>
    <mergeCell ref="A2:J2"/>
  </mergeCells>
  <conditionalFormatting sqref="B1:B2 B67:B1048576">
    <cfRule type="cellIs" dxfId="25" priority="3" operator="equal">
      <formula>"Sat"</formula>
    </cfRule>
  </conditionalFormatting>
  <conditionalFormatting sqref="B4:B38">
    <cfRule type="containsText" dxfId="24" priority="1" operator="containsText" text="Sun">
      <formula>NOT(ISERROR(SEARCH("Sun",B4)))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13DD-1B51-4BC1-88EF-137C2572BBD8}">
  <dimension ref="A1:S52"/>
  <sheetViews>
    <sheetView zoomScale="90" zoomScaleNormal="9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T1" sqref="T1:V1048576"/>
    </sheetView>
  </sheetViews>
  <sheetFormatPr defaultRowHeight="15"/>
  <cols>
    <col min="1" max="1" width="10.85546875" style="103" bestFit="1" customWidth="1"/>
    <col min="2" max="2" width="10.85546875" style="104" customWidth="1"/>
    <col min="3" max="3" width="14.5703125" style="104" bestFit="1" customWidth="1"/>
    <col min="4" max="4" width="11.7109375" style="101" bestFit="1" customWidth="1"/>
    <col min="5" max="5" width="12.42578125" style="101" bestFit="1" customWidth="1"/>
    <col min="6" max="6" width="15.140625" style="101" bestFit="1" customWidth="1"/>
    <col min="7" max="7" width="11.85546875" style="101" bestFit="1" customWidth="1"/>
    <col min="8" max="8" width="15.140625" style="101" bestFit="1" customWidth="1"/>
    <col min="9" max="9" width="12.42578125" style="101" bestFit="1" customWidth="1"/>
    <col min="10" max="10" width="11.85546875" style="101" bestFit="1" customWidth="1"/>
    <col min="11" max="11" width="16" style="5" bestFit="1" customWidth="1"/>
    <col min="12" max="12" width="13.42578125" style="3" bestFit="1" customWidth="1"/>
    <col min="13" max="13" width="9.42578125" style="3" bestFit="1" customWidth="1"/>
    <col min="14" max="14" width="9.42578125" style="3" customWidth="1"/>
    <col min="15" max="15" width="53.140625" style="5" bestFit="1" customWidth="1"/>
    <col min="16" max="16" width="7" style="1" bestFit="1" customWidth="1"/>
    <col min="17" max="17" width="9.140625" style="5" bestFit="1" customWidth="1"/>
    <col min="18" max="18" width="5.5703125" style="5" bestFit="1" customWidth="1"/>
    <col min="19" max="19" width="21" style="5" bestFit="1" customWidth="1"/>
    <col min="20" max="16384" width="9.140625" style="5"/>
  </cols>
  <sheetData>
    <row r="1" spans="1:19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  <c r="K1" s="2"/>
    </row>
    <row r="2" spans="1:19" ht="18.75">
      <c r="A2" s="277" t="s">
        <v>285</v>
      </c>
      <c r="B2" s="277"/>
      <c r="C2" s="277"/>
      <c r="D2" s="277"/>
      <c r="E2" s="277"/>
      <c r="F2" s="277"/>
      <c r="G2" s="277"/>
      <c r="H2" s="277"/>
      <c r="I2" s="277"/>
      <c r="J2" s="277"/>
      <c r="K2" s="2"/>
    </row>
    <row r="3" spans="1:19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100" t="s">
        <v>18</v>
      </c>
      <c r="N3" s="100"/>
      <c r="O3" s="49" t="s">
        <v>1</v>
      </c>
      <c r="P3" s="49" t="s">
        <v>2</v>
      </c>
      <c r="Q3" s="49" t="s">
        <v>3</v>
      </c>
      <c r="R3" s="49" t="s">
        <v>6</v>
      </c>
      <c r="S3" s="49" t="s">
        <v>4</v>
      </c>
    </row>
    <row r="4" spans="1:19">
      <c r="A4" s="113">
        <v>46230</v>
      </c>
      <c r="B4" s="13" t="s">
        <v>67</v>
      </c>
      <c r="C4" s="13">
        <v>1</v>
      </c>
      <c r="D4" s="13" t="s">
        <v>194</v>
      </c>
      <c r="E4" s="139"/>
      <c r="F4" s="12" t="s">
        <v>263</v>
      </c>
      <c r="G4" s="11"/>
      <c r="H4" s="135" t="s">
        <v>245</v>
      </c>
      <c r="I4" s="13" t="s">
        <v>243</v>
      </c>
      <c r="J4" s="126"/>
      <c r="K4" s="110"/>
      <c r="L4" s="121" t="s">
        <v>154</v>
      </c>
      <c r="M4" s="105" t="s">
        <v>194</v>
      </c>
      <c r="N4" s="105"/>
      <c r="O4" s="120" t="s">
        <v>153</v>
      </c>
      <c r="P4" s="121">
        <v>4</v>
      </c>
      <c r="Q4" s="7">
        <f>R4/1.25</f>
        <v>48</v>
      </c>
      <c r="R4" s="95">
        <f>P4*15</f>
        <v>60</v>
      </c>
      <c r="S4" s="136" t="s">
        <v>155</v>
      </c>
    </row>
    <row r="5" spans="1:19">
      <c r="A5" s="113">
        <v>46231</v>
      </c>
      <c r="B5" s="13" t="s">
        <v>68</v>
      </c>
      <c r="C5" s="13">
        <f>C4+1</f>
        <v>2</v>
      </c>
      <c r="D5" s="12" t="s">
        <v>263</v>
      </c>
      <c r="E5" s="13" t="s">
        <v>198</v>
      </c>
      <c r="F5" s="139"/>
      <c r="G5" s="11"/>
      <c r="H5" s="16" t="s">
        <v>195</v>
      </c>
      <c r="I5" s="13" t="s">
        <v>243</v>
      </c>
      <c r="J5" s="12"/>
      <c r="K5" s="110"/>
      <c r="L5" s="121" t="s">
        <v>124</v>
      </c>
      <c r="M5" s="105" t="s">
        <v>195</v>
      </c>
      <c r="N5" s="105"/>
      <c r="O5" s="120" t="s">
        <v>123</v>
      </c>
      <c r="P5" s="121">
        <v>3</v>
      </c>
      <c r="Q5" s="7">
        <f t="shared" ref="Q5:Q17" si="0">R5/1.25</f>
        <v>36</v>
      </c>
      <c r="R5" s="95">
        <f t="shared" ref="R5:R17" si="1">P5*15</f>
        <v>45</v>
      </c>
      <c r="S5" s="275"/>
    </row>
    <row r="6" spans="1:19" ht="30">
      <c r="A6" s="113">
        <v>46232</v>
      </c>
      <c r="B6" s="13" t="s">
        <v>69</v>
      </c>
      <c r="C6" s="13">
        <f t="shared" ref="C6:C9" si="2">C5+1</f>
        <v>3</v>
      </c>
      <c r="D6" s="125"/>
      <c r="E6" s="13" t="s">
        <v>196</v>
      </c>
      <c r="F6" s="12" t="s">
        <v>263</v>
      </c>
      <c r="G6" s="11"/>
      <c r="H6" s="125"/>
      <c r="I6" s="135" t="s">
        <v>245</v>
      </c>
      <c r="J6" s="13"/>
      <c r="K6" s="110"/>
      <c r="L6" s="121" t="s">
        <v>140</v>
      </c>
      <c r="M6" s="105" t="s">
        <v>196</v>
      </c>
      <c r="N6" s="105"/>
      <c r="O6" s="120" t="s">
        <v>139</v>
      </c>
      <c r="P6" s="121">
        <v>4</v>
      </c>
      <c r="Q6" s="7">
        <f t="shared" si="0"/>
        <v>48</v>
      </c>
      <c r="R6" s="95">
        <f t="shared" si="1"/>
        <v>60</v>
      </c>
      <c r="S6" s="136" t="s">
        <v>108</v>
      </c>
    </row>
    <row r="7" spans="1:19">
      <c r="A7" s="113">
        <v>46233</v>
      </c>
      <c r="B7" s="13" t="s">
        <v>70</v>
      </c>
      <c r="C7" s="13">
        <f t="shared" si="2"/>
        <v>4</v>
      </c>
      <c r="D7" s="12" t="s">
        <v>195</v>
      </c>
      <c r="E7" s="140"/>
      <c r="F7" s="13" t="s">
        <v>196</v>
      </c>
      <c r="G7" s="11"/>
      <c r="H7" s="13" t="s">
        <v>243</v>
      </c>
      <c r="I7" s="141"/>
      <c r="J7" s="13" t="s">
        <v>194</v>
      </c>
      <c r="L7" s="121" t="s">
        <v>138</v>
      </c>
      <c r="M7" s="105" t="s">
        <v>197</v>
      </c>
      <c r="N7" s="105"/>
      <c r="O7" s="120" t="s">
        <v>137</v>
      </c>
      <c r="P7" s="121">
        <v>2</v>
      </c>
      <c r="Q7" s="7">
        <f t="shared" si="0"/>
        <v>24</v>
      </c>
      <c r="R7" s="95">
        <f t="shared" si="1"/>
        <v>30</v>
      </c>
      <c r="S7" s="136" t="s">
        <v>115</v>
      </c>
    </row>
    <row r="8" spans="1:19" ht="30">
      <c r="A8" s="113">
        <v>46234</v>
      </c>
      <c r="B8" s="13" t="s">
        <v>71</v>
      </c>
      <c r="C8" s="13">
        <f t="shared" si="2"/>
        <v>5</v>
      </c>
      <c r="D8" s="13" t="s">
        <v>194</v>
      </c>
      <c r="E8" s="141"/>
      <c r="F8" s="13" t="s">
        <v>264</v>
      </c>
      <c r="G8" s="11"/>
      <c r="H8" s="13" t="s">
        <v>198</v>
      </c>
      <c r="I8" s="135" t="s">
        <v>245</v>
      </c>
      <c r="J8" s="12"/>
      <c r="L8" s="121" t="s">
        <v>149</v>
      </c>
      <c r="M8" s="105" t="s">
        <v>198</v>
      </c>
      <c r="N8" s="105"/>
      <c r="O8" s="120" t="s">
        <v>148</v>
      </c>
      <c r="P8" s="121">
        <v>2</v>
      </c>
      <c r="Q8" s="7">
        <f t="shared" si="0"/>
        <v>24</v>
      </c>
      <c r="R8" s="95">
        <f t="shared" si="1"/>
        <v>30</v>
      </c>
      <c r="S8" s="136" t="s">
        <v>150</v>
      </c>
    </row>
    <row r="9" spans="1:19">
      <c r="A9" s="113">
        <v>46235</v>
      </c>
      <c r="B9" s="13" t="s">
        <v>72</v>
      </c>
      <c r="C9" s="13">
        <f t="shared" si="2"/>
        <v>6</v>
      </c>
      <c r="D9" s="10" t="s">
        <v>196</v>
      </c>
      <c r="E9" s="10" t="s">
        <v>195</v>
      </c>
      <c r="F9" s="13" t="s">
        <v>242</v>
      </c>
      <c r="G9" s="14"/>
      <c r="H9" s="13" t="s">
        <v>242</v>
      </c>
      <c r="J9" s="13"/>
      <c r="L9" s="130" t="s">
        <v>117</v>
      </c>
      <c r="M9" s="131" t="s">
        <v>206</v>
      </c>
      <c r="N9" s="131">
        <v>38</v>
      </c>
      <c r="O9" s="132" t="s">
        <v>116</v>
      </c>
      <c r="P9" s="130">
        <v>4</v>
      </c>
      <c r="Q9" s="133">
        <f t="shared" si="0"/>
        <v>48</v>
      </c>
      <c r="R9" s="134">
        <f t="shared" si="1"/>
        <v>60</v>
      </c>
      <c r="S9" s="137" t="s">
        <v>76</v>
      </c>
    </row>
    <row r="10" spans="1:19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30" t="s">
        <v>119</v>
      </c>
      <c r="M10" s="131" t="s">
        <v>199</v>
      </c>
      <c r="N10" s="131">
        <v>46</v>
      </c>
      <c r="O10" s="132" t="s">
        <v>118</v>
      </c>
      <c r="P10" s="130">
        <v>4</v>
      </c>
      <c r="Q10" s="133">
        <f t="shared" si="0"/>
        <v>48</v>
      </c>
      <c r="R10" s="134">
        <f t="shared" si="1"/>
        <v>60</v>
      </c>
      <c r="S10" s="137" t="s">
        <v>120</v>
      </c>
    </row>
    <row r="11" spans="1:19">
      <c r="A11" s="113">
        <v>46237</v>
      </c>
      <c r="B11" s="13" t="s">
        <v>67</v>
      </c>
      <c r="C11" s="171">
        <f>C9+1</f>
        <v>7</v>
      </c>
      <c r="D11" s="13" t="s">
        <v>194</v>
      </c>
      <c r="E11" s="139"/>
      <c r="F11" s="73" t="s">
        <v>263</v>
      </c>
      <c r="G11" s="11"/>
      <c r="H11" s="135" t="s">
        <v>245</v>
      </c>
      <c r="I11" s="13" t="s">
        <v>243</v>
      </c>
      <c r="J11" s="126"/>
      <c r="L11" s="130" t="s">
        <v>122</v>
      </c>
      <c r="M11" s="131" t="s">
        <v>157</v>
      </c>
      <c r="N11" s="131">
        <v>36</v>
      </c>
      <c r="O11" s="132" t="s">
        <v>121</v>
      </c>
      <c r="P11" s="130">
        <v>4</v>
      </c>
      <c r="Q11" s="133">
        <f t="shared" si="0"/>
        <v>48</v>
      </c>
      <c r="R11" s="134">
        <f t="shared" si="1"/>
        <v>60</v>
      </c>
      <c r="S11" s="137" t="s">
        <v>233</v>
      </c>
    </row>
    <row r="12" spans="1:19">
      <c r="A12" s="113">
        <v>46238</v>
      </c>
      <c r="B12" s="13" t="s">
        <v>68</v>
      </c>
      <c r="C12" s="171">
        <f>C11+1</f>
        <v>8</v>
      </c>
      <c r="D12" s="73" t="s">
        <v>205</v>
      </c>
      <c r="E12" s="13" t="s">
        <v>198</v>
      </c>
      <c r="F12" s="139"/>
      <c r="G12" s="11"/>
      <c r="H12" s="16" t="s">
        <v>195</v>
      </c>
      <c r="I12" s="13" t="s">
        <v>243</v>
      </c>
      <c r="J12" s="12"/>
      <c r="L12" s="130" t="s">
        <v>126</v>
      </c>
      <c r="M12" s="131" t="s">
        <v>200</v>
      </c>
      <c r="N12" s="131">
        <v>46</v>
      </c>
      <c r="O12" s="132" t="s">
        <v>125</v>
      </c>
      <c r="P12" s="130">
        <v>4</v>
      </c>
      <c r="Q12" s="133">
        <f t="shared" si="0"/>
        <v>48</v>
      </c>
      <c r="R12" s="133">
        <f t="shared" si="1"/>
        <v>60</v>
      </c>
      <c r="S12" s="137" t="s">
        <v>232</v>
      </c>
    </row>
    <row r="13" spans="1:19" ht="30">
      <c r="A13" s="113">
        <v>46239</v>
      </c>
      <c r="B13" s="13" t="s">
        <v>69</v>
      </c>
      <c r="C13" s="171">
        <f t="shared" ref="C13:C16" si="3">C12+1</f>
        <v>9</v>
      </c>
      <c r="D13" s="125"/>
      <c r="E13" s="13" t="s">
        <v>196</v>
      </c>
      <c r="F13" s="73" t="s">
        <v>205</v>
      </c>
      <c r="G13" s="11"/>
      <c r="H13" s="125"/>
      <c r="I13" s="135" t="s">
        <v>245</v>
      </c>
      <c r="J13" s="13"/>
      <c r="L13" s="130" t="s">
        <v>128</v>
      </c>
      <c r="M13" s="131" t="s">
        <v>201</v>
      </c>
      <c r="N13" s="131">
        <v>37</v>
      </c>
      <c r="O13" s="132" t="s">
        <v>127</v>
      </c>
      <c r="P13" s="130">
        <v>4</v>
      </c>
      <c r="Q13" s="133">
        <f t="shared" si="0"/>
        <v>48</v>
      </c>
      <c r="R13" s="133">
        <f t="shared" si="1"/>
        <v>60</v>
      </c>
      <c r="S13" s="137" t="s">
        <v>281</v>
      </c>
    </row>
    <row r="14" spans="1:19">
      <c r="A14" s="113">
        <v>46240</v>
      </c>
      <c r="B14" s="13" t="s">
        <v>70</v>
      </c>
      <c r="C14" s="171">
        <f t="shared" si="3"/>
        <v>10</v>
      </c>
      <c r="D14" s="12" t="s">
        <v>195</v>
      </c>
      <c r="E14" s="140"/>
      <c r="F14" s="13" t="s">
        <v>196</v>
      </c>
      <c r="G14" s="11"/>
      <c r="H14" s="11" t="s">
        <v>273</v>
      </c>
      <c r="I14" s="140"/>
      <c r="J14" s="13" t="s">
        <v>194</v>
      </c>
      <c r="L14" s="130" t="s">
        <v>142</v>
      </c>
      <c r="M14" s="131" t="s">
        <v>207</v>
      </c>
      <c r="N14" s="131">
        <v>42</v>
      </c>
      <c r="O14" s="132" t="s">
        <v>141</v>
      </c>
      <c r="P14" s="130">
        <v>4</v>
      </c>
      <c r="Q14" s="133">
        <f t="shared" si="0"/>
        <v>48</v>
      </c>
      <c r="R14" s="133">
        <f t="shared" si="1"/>
        <v>60</v>
      </c>
      <c r="S14" s="137" t="s">
        <v>240</v>
      </c>
    </row>
    <row r="15" spans="1:19" ht="30">
      <c r="A15" s="113">
        <v>46241</v>
      </c>
      <c r="B15" s="13" t="s">
        <v>71</v>
      </c>
      <c r="C15" s="171">
        <f t="shared" si="3"/>
        <v>11</v>
      </c>
      <c r="D15" s="13" t="s">
        <v>194</v>
      </c>
      <c r="E15" s="140"/>
      <c r="F15" s="14" t="s">
        <v>272</v>
      </c>
      <c r="G15" s="11"/>
      <c r="H15" s="13" t="s">
        <v>198</v>
      </c>
      <c r="I15" s="135" t="s">
        <v>245</v>
      </c>
      <c r="J15" s="12"/>
      <c r="L15" s="130" t="s">
        <v>144</v>
      </c>
      <c r="M15" s="131" t="s">
        <v>208</v>
      </c>
      <c r="N15" s="131">
        <v>44</v>
      </c>
      <c r="O15" s="132" t="s">
        <v>143</v>
      </c>
      <c r="P15" s="130">
        <v>4</v>
      </c>
      <c r="Q15" s="133">
        <f t="shared" si="0"/>
        <v>48</v>
      </c>
      <c r="R15" s="133">
        <f t="shared" si="1"/>
        <v>60</v>
      </c>
      <c r="S15" s="137" t="s">
        <v>79</v>
      </c>
    </row>
    <row r="16" spans="1:19">
      <c r="A16" s="113">
        <v>46242</v>
      </c>
      <c r="B16" s="13" t="s">
        <v>72</v>
      </c>
      <c r="C16" s="171">
        <f t="shared" si="3"/>
        <v>12</v>
      </c>
      <c r="D16" s="10" t="s">
        <v>196</v>
      </c>
      <c r="E16" s="10" t="s">
        <v>195</v>
      </c>
      <c r="F16" s="13" t="s">
        <v>242</v>
      </c>
      <c r="G16" s="14"/>
      <c r="H16" s="13" t="s">
        <v>242</v>
      </c>
      <c r="I16" s="12"/>
      <c r="J16" s="13"/>
      <c r="L16" s="130" t="s">
        <v>146</v>
      </c>
      <c r="M16" s="131" t="s">
        <v>209</v>
      </c>
      <c r="N16" s="131">
        <v>0</v>
      </c>
      <c r="O16" s="132" t="s">
        <v>145</v>
      </c>
      <c r="P16" s="130">
        <v>4</v>
      </c>
      <c r="Q16" s="133">
        <f t="shared" si="0"/>
        <v>48</v>
      </c>
      <c r="R16" s="133">
        <f t="shared" si="1"/>
        <v>60</v>
      </c>
      <c r="S16" s="137" t="s">
        <v>147</v>
      </c>
    </row>
    <row r="17" spans="1:19">
      <c r="A17" s="113">
        <v>46243</v>
      </c>
      <c r="B17" s="13" t="s">
        <v>73</v>
      </c>
      <c r="C17" s="171"/>
      <c r="D17" s="175"/>
      <c r="E17" s="176"/>
      <c r="F17" s="175"/>
      <c r="G17" s="177"/>
      <c r="H17" s="178"/>
      <c r="I17" s="179"/>
      <c r="J17" s="175"/>
      <c r="L17" s="130" t="s">
        <v>152</v>
      </c>
      <c r="M17" s="131" t="s">
        <v>202</v>
      </c>
      <c r="N17" s="131">
        <v>46</v>
      </c>
      <c r="O17" s="132" t="s">
        <v>151</v>
      </c>
      <c r="P17" s="130">
        <v>4</v>
      </c>
      <c r="Q17" s="133">
        <f t="shared" si="0"/>
        <v>48</v>
      </c>
      <c r="R17" s="133">
        <f t="shared" si="1"/>
        <v>60</v>
      </c>
      <c r="S17" s="137" t="s">
        <v>241</v>
      </c>
    </row>
    <row r="18" spans="1:19">
      <c r="A18" s="113">
        <v>46244</v>
      </c>
      <c r="B18" s="13" t="s">
        <v>67</v>
      </c>
      <c r="C18" s="171">
        <f>C16+1</f>
        <v>13</v>
      </c>
      <c r="D18" s="13" t="s">
        <v>194</v>
      </c>
      <c r="E18" s="139"/>
      <c r="F18" s="12" t="s">
        <v>263</v>
      </c>
      <c r="G18" s="11"/>
      <c r="H18" s="135" t="s">
        <v>201</v>
      </c>
      <c r="I18" s="13" t="s">
        <v>243</v>
      </c>
      <c r="J18" s="126"/>
      <c r="L18" s="130" t="s">
        <v>130</v>
      </c>
      <c r="M18" s="131" t="s">
        <v>203</v>
      </c>
      <c r="N18" s="131">
        <v>0</v>
      </c>
      <c r="O18" s="132" t="s">
        <v>129</v>
      </c>
      <c r="P18" s="130">
        <v>4</v>
      </c>
      <c r="Q18" s="133">
        <f>R18/1.25</f>
        <v>48</v>
      </c>
      <c r="R18" s="133">
        <f>P18*15</f>
        <v>60</v>
      </c>
      <c r="S18" s="137" t="s">
        <v>131</v>
      </c>
    </row>
    <row r="19" spans="1:19">
      <c r="A19" s="113">
        <v>46245</v>
      </c>
      <c r="B19" s="13" t="s">
        <v>68</v>
      </c>
      <c r="C19" s="171">
        <f>C18+1</f>
        <v>14</v>
      </c>
      <c r="D19" s="12" t="s">
        <v>263</v>
      </c>
      <c r="E19" s="13" t="s">
        <v>198</v>
      </c>
      <c r="F19" s="139"/>
      <c r="G19" s="11"/>
      <c r="H19" s="16" t="s">
        <v>195</v>
      </c>
      <c r="I19" s="68" t="s">
        <v>292</v>
      </c>
      <c r="J19" s="12"/>
      <c r="L19" s="130" t="s">
        <v>133</v>
      </c>
      <c r="M19" s="131" t="s">
        <v>204</v>
      </c>
      <c r="N19" s="131">
        <v>44</v>
      </c>
      <c r="O19" s="132" t="s">
        <v>132</v>
      </c>
      <c r="P19" s="130">
        <v>4</v>
      </c>
      <c r="Q19" s="133">
        <f>R19/1.25</f>
        <v>48</v>
      </c>
      <c r="R19" s="133">
        <f>P19*15</f>
        <v>60</v>
      </c>
      <c r="S19" s="137" t="s">
        <v>134</v>
      </c>
    </row>
    <row r="20" spans="1:19">
      <c r="A20" s="113">
        <v>46246</v>
      </c>
      <c r="B20" s="13" t="s">
        <v>69</v>
      </c>
      <c r="C20" s="171">
        <f t="shared" ref="C20:C22" si="4">C19+1</f>
        <v>15</v>
      </c>
      <c r="D20" s="125"/>
      <c r="E20" s="13" t="s">
        <v>196</v>
      </c>
      <c r="F20" s="12" t="s">
        <v>263</v>
      </c>
      <c r="G20" s="11"/>
      <c r="H20" s="125"/>
      <c r="I20" s="135" t="s">
        <v>201</v>
      </c>
      <c r="J20" s="13"/>
      <c r="K20" s="110"/>
      <c r="L20" s="130" t="s">
        <v>136</v>
      </c>
      <c r="M20" s="131" t="s">
        <v>205</v>
      </c>
      <c r="N20" s="131">
        <v>46</v>
      </c>
      <c r="O20" s="132" t="s">
        <v>135</v>
      </c>
      <c r="P20" s="130">
        <v>4</v>
      </c>
      <c r="Q20" s="133">
        <f>R20/1.25</f>
        <v>48</v>
      </c>
      <c r="R20" s="133">
        <f>P20*15</f>
        <v>60</v>
      </c>
      <c r="S20" s="137" t="s">
        <v>96</v>
      </c>
    </row>
    <row r="21" spans="1:19">
      <c r="A21" s="113">
        <v>46247</v>
      </c>
      <c r="B21" s="13" t="s">
        <v>70</v>
      </c>
      <c r="C21" s="171">
        <f t="shared" si="4"/>
        <v>16</v>
      </c>
      <c r="D21" s="12" t="s">
        <v>195</v>
      </c>
      <c r="E21" s="140"/>
      <c r="F21" s="13" t="s">
        <v>196</v>
      </c>
      <c r="G21" s="11"/>
      <c r="H21" s="11" t="s">
        <v>273</v>
      </c>
      <c r="I21" s="140"/>
      <c r="J21" s="13" t="s">
        <v>194</v>
      </c>
      <c r="L21" s="4"/>
      <c r="M21" s="4"/>
      <c r="N21" s="4"/>
      <c r="O21" s="54"/>
      <c r="P21" s="4">
        <f>SUM(P4:P20)</f>
        <v>63</v>
      </c>
      <c r="Q21" s="4">
        <f>SUM(Q4:Q20)</f>
        <v>756</v>
      </c>
      <c r="R21" s="4">
        <f>SUM(R4:R20)</f>
        <v>945</v>
      </c>
      <c r="S21" s="99"/>
    </row>
    <row r="22" spans="1:19">
      <c r="A22" s="113">
        <v>46248</v>
      </c>
      <c r="B22" s="13" t="s">
        <v>71</v>
      </c>
      <c r="C22" s="171">
        <f t="shared" si="4"/>
        <v>17</v>
      </c>
      <c r="D22" s="13"/>
      <c r="E22" s="13"/>
      <c r="F22" s="14" t="s">
        <v>319</v>
      </c>
      <c r="G22" s="11"/>
      <c r="H22" s="13" t="s">
        <v>198</v>
      </c>
      <c r="I22" s="174" t="s">
        <v>293</v>
      </c>
      <c r="J22" s="12"/>
      <c r="K22" s="5" t="s">
        <v>309</v>
      </c>
    </row>
    <row r="23" spans="1:19">
      <c r="A23" s="113">
        <v>46249</v>
      </c>
      <c r="B23" s="13" t="s">
        <v>72</v>
      </c>
      <c r="C23" s="227" t="s">
        <v>23</v>
      </c>
      <c r="D23" s="180"/>
      <c r="E23" s="180"/>
      <c r="F23" s="181"/>
      <c r="G23" s="182"/>
      <c r="H23" s="181"/>
      <c r="I23" s="210"/>
      <c r="J23" s="181"/>
    </row>
    <row r="24" spans="1:19" hidden="1">
      <c r="A24" s="113">
        <v>46250</v>
      </c>
      <c r="B24" s="13" t="s">
        <v>73</v>
      </c>
      <c r="C24" s="114"/>
      <c r="D24" s="181"/>
      <c r="E24" s="210"/>
      <c r="F24" s="181"/>
      <c r="G24" s="211"/>
      <c r="H24" s="183"/>
      <c r="I24" s="180"/>
      <c r="J24" s="181"/>
    </row>
    <row r="25" spans="1:19" hidden="1">
      <c r="A25" s="113">
        <v>46251</v>
      </c>
      <c r="B25" s="13" t="s">
        <v>67</v>
      </c>
      <c r="C25" s="114">
        <f>C22+1</f>
        <v>18</v>
      </c>
      <c r="D25" s="13" t="s">
        <v>194</v>
      </c>
      <c r="E25" s="139"/>
      <c r="F25" s="12" t="s">
        <v>263</v>
      </c>
      <c r="G25" s="11"/>
      <c r="H25" s="135" t="s">
        <v>201</v>
      </c>
      <c r="I25" s="13" t="s">
        <v>243</v>
      </c>
      <c r="J25" s="126"/>
      <c r="O25" s="102"/>
      <c r="P25" s="5"/>
    </row>
    <row r="26" spans="1:19" hidden="1">
      <c r="A26" s="113">
        <v>46252</v>
      </c>
      <c r="B26" s="13" t="s">
        <v>68</v>
      </c>
      <c r="C26" s="114">
        <f>C25+1</f>
        <v>19</v>
      </c>
      <c r="D26" s="12" t="s">
        <v>263</v>
      </c>
      <c r="E26" s="13" t="s">
        <v>198</v>
      </c>
      <c r="F26" s="139"/>
      <c r="G26" s="11"/>
      <c r="H26" s="16" t="s">
        <v>195</v>
      </c>
      <c r="I26" s="68" t="s">
        <v>292</v>
      </c>
      <c r="J26" s="12"/>
      <c r="P26" s="5"/>
      <c r="Q26" s="1"/>
      <c r="R26" s="1"/>
    </row>
    <row r="27" spans="1:19" hidden="1">
      <c r="A27" s="113">
        <v>46253</v>
      </c>
      <c r="B27" s="13" t="s">
        <v>69</v>
      </c>
      <c r="C27" s="114">
        <f t="shared" ref="C27:C30" si="5">C26+1</f>
        <v>20</v>
      </c>
      <c r="D27" s="125"/>
      <c r="E27" s="13" t="s">
        <v>196</v>
      </c>
      <c r="F27" s="12" t="s">
        <v>263</v>
      </c>
      <c r="G27" s="11"/>
      <c r="H27" s="125"/>
      <c r="I27" s="135" t="s">
        <v>201</v>
      </c>
      <c r="J27" s="13"/>
      <c r="K27" s="110"/>
      <c r="O27" s="28"/>
      <c r="P27" s="5"/>
    </row>
    <row r="28" spans="1:19" hidden="1">
      <c r="A28" s="113">
        <v>46254</v>
      </c>
      <c r="B28" s="13" t="s">
        <v>70</v>
      </c>
      <c r="C28" s="114">
        <f t="shared" si="5"/>
        <v>21</v>
      </c>
      <c r="D28" s="12" t="s">
        <v>195</v>
      </c>
      <c r="E28" s="140"/>
      <c r="F28" s="13" t="s">
        <v>196</v>
      </c>
      <c r="G28" s="11"/>
      <c r="H28" s="11" t="s">
        <v>273</v>
      </c>
      <c r="I28" s="140"/>
      <c r="J28" s="13" t="s">
        <v>194</v>
      </c>
      <c r="O28" s="28"/>
    </row>
    <row r="29" spans="1:19" hidden="1">
      <c r="A29" s="113">
        <v>46255</v>
      </c>
      <c r="B29" s="13" t="s">
        <v>71</v>
      </c>
      <c r="C29" s="114">
        <f t="shared" si="5"/>
        <v>22</v>
      </c>
      <c r="D29" s="13" t="s">
        <v>194</v>
      </c>
      <c r="E29" s="140"/>
      <c r="F29" s="14" t="s">
        <v>272</v>
      </c>
      <c r="G29" s="11"/>
      <c r="H29" s="13" t="s">
        <v>198</v>
      </c>
      <c r="I29" s="174" t="s">
        <v>293</v>
      </c>
      <c r="J29" s="12"/>
      <c r="K29" s="5" t="s">
        <v>321</v>
      </c>
      <c r="O29" s="28"/>
    </row>
    <row r="30" spans="1:19" hidden="1">
      <c r="A30" s="113">
        <v>46256</v>
      </c>
      <c r="B30" s="13" t="s">
        <v>72</v>
      </c>
      <c r="C30" s="114">
        <f t="shared" si="5"/>
        <v>23</v>
      </c>
      <c r="D30" s="10" t="s">
        <v>196</v>
      </c>
      <c r="E30" s="10" t="s">
        <v>195</v>
      </c>
      <c r="F30" s="13" t="s">
        <v>242</v>
      </c>
      <c r="G30" s="14"/>
      <c r="H30" s="13" t="s">
        <v>242</v>
      </c>
      <c r="I30" s="13"/>
      <c r="J30" s="109"/>
      <c r="O30" s="28"/>
    </row>
    <row r="31" spans="1:19" hidden="1">
      <c r="A31" s="262">
        <v>46257</v>
      </c>
      <c r="B31" s="175" t="s">
        <v>73</v>
      </c>
      <c r="C31" s="263"/>
      <c r="D31" s="175"/>
      <c r="E31" s="176"/>
      <c r="F31" s="175"/>
      <c r="G31" s="177"/>
      <c r="H31" s="178"/>
      <c r="I31" s="175"/>
      <c r="J31" s="175"/>
      <c r="O31" s="28"/>
    </row>
    <row r="32" spans="1:19" hidden="1">
      <c r="A32" s="113">
        <v>46258</v>
      </c>
      <c r="B32" s="13" t="s">
        <v>67</v>
      </c>
      <c r="C32" s="114">
        <f>C29+1</f>
        <v>23</v>
      </c>
      <c r="D32" s="13" t="s">
        <v>194</v>
      </c>
      <c r="E32" s="139"/>
      <c r="F32" s="12" t="s">
        <v>263</v>
      </c>
      <c r="G32" s="11"/>
      <c r="H32" s="135" t="s">
        <v>201</v>
      </c>
      <c r="I32" s="13" t="s">
        <v>243</v>
      </c>
      <c r="J32" s="126"/>
      <c r="K32" s="3"/>
      <c r="O32" s="29"/>
    </row>
    <row r="33" spans="1:19" hidden="1">
      <c r="A33" s="113">
        <v>46259</v>
      </c>
      <c r="B33" s="13" t="s">
        <v>68</v>
      </c>
      <c r="C33" s="114">
        <f>C32+1</f>
        <v>24</v>
      </c>
      <c r="D33" s="12" t="s">
        <v>263</v>
      </c>
      <c r="E33" s="13" t="s">
        <v>198</v>
      </c>
      <c r="F33" s="139"/>
      <c r="G33" s="11"/>
      <c r="H33" s="16" t="s">
        <v>195</v>
      </c>
      <c r="I33" s="68" t="s">
        <v>292</v>
      </c>
      <c r="J33" s="12"/>
      <c r="K33" s="3"/>
      <c r="O33" s="28"/>
    </row>
    <row r="34" spans="1:19" hidden="1">
      <c r="A34" s="113">
        <v>46260</v>
      </c>
      <c r="B34" s="13" t="s">
        <v>69</v>
      </c>
      <c r="C34" s="114">
        <f t="shared" ref="C34:C35" si="6">C33+1</f>
        <v>25</v>
      </c>
      <c r="D34" s="125"/>
      <c r="E34" s="13" t="s">
        <v>196</v>
      </c>
      <c r="F34" s="12" t="s">
        <v>263</v>
      </c>
      <c r="G34" s="11"/>
      <c r="H34" s="125"/>
      <c r="I34" s="135" t="s">
        <v>201</v>
      </c>
      <c r="J34" s="13"/>
      <c r="K34" s="3"/>
      <c r="O34" s="28"/>
      <c r="P34" s="5"/>
      <c r="S34" s="1"/>
    </row>
    <row r="35" spans="1:19" hidden="1">
      <c r="A35" s="113">
        <v>46261</v>
      </c>
      <c r="B35" s="13" t="s">
        <v>70</v>
      </c>
      <c r="C35" s="114">
        <f t="shared" si="6"/>
        <v>26</v>
      </c>
      <c r="D35" s="12" t="s">
        <v>195</v>
      </c>
      <c r="E35" s="140"/>
      <c r="F35" s="13" t="s">
        <v>196</v>
      </c>
      <c r="G35" s="11"/>
      <c r="H35" s="11" t="s">
        <v>273</v>
      </c>
      <c r="I35" s="140"/>
      <c r="J35" s="13" t="s">
        <v>194</v>
      </c>
      <c r="K35" s="3"/>
      <c r="O35" s="28"/>
      <c r="P35" s="5"/>
      <c r="R35" s="1"/>
    </row>
    <row r="36" spans="1:19" hidden="1">
      <c r="A36" s="113">
        <v>46262</v>
      </c>
      <c r="B36" s="13" t="s">
        <v>71</v>
      </c>
      <c r="C36" s="114" t="s">
        <v>22</v>
      </c>
      <c r="D36" s="13"/>
      <c r="E36" s="140"/>
      <c r="F36" s="14"/>
      <c r="G36" s="11"/>
      <c r="H36" s="13"/>
      <c r="I36" s="174"/>
      <c r="J36" s="12"/>
      <c r="K36" s="3"/>
      <c r="O36" s="28"/>
      <c r="P36" s="5"/>
      <c r="R36" s="1"/>
    </row>
    <row r="37" spans="1:19" hidden="1">
      <c r="A37" s="113">
        <v>46263</v>
      </c>
      <c r="B37" s="13" t="s">
        <v>72</v>
      </c>
      <c r="C37" s="12">
        <f>C35+1</f>
        <v>27</v>
      </c>
      <c r="D37" s="10" t="s">
        <v>196</v>
      </c>
      <c r="E37" s="10" t="s">
        <v>195</v>
      </c>
      <c r="F37" s="13" t="s">
        <v>242</v>
      </c>
      <c r="G37" s="14"/>
      <c r="H37" s="13" t="s">
        <v>242</v>
      </c>
      <c r="I37" s="13"/>
      <c r="J37" s="109"/>
      <c r="K37" s="3"/>
      <c r="O37" s="28"/>
      <c r="P37" s="5"/>
      <c r="R37" s="1"/>
    </row>
    <row r="38" spans="1:19">
      <c r="A38" s="264">
        <v>46264</v>
      </c>
      <c r="B38" s="181" t="s">
        <v>73</v>
      </c>
      <c r="C38" s="265"/>
      <c r="D38" s="181"/>
      <c r="E38" s="181"/>
      <c r="F38" s="181"/>
      <c r="G38" s="211"/>
      <c r="H38" s="183"/>
      <c r="I38" s="180"/>
      <c r="J38" s="181"/>
      <c r="O38" s="28"/>
      <c r="P38" s="5"/>
      <c r="R38" s="1"/>
    </row>
    <row r="39" spans="1:19">
      <c r="A39" s="113">
        <v>46265</v>
      </c>
      <c r="B39" s="13" t="s">
        <v>67</v>
      </c>
      <c r="C39" s="114">
        <f>C37+1</f>
        <v>28</v>
      </c>
      <c r="D39" s="13" t="s">
        <v>194</v>
      </c>
      <c r="E39" s="139"/>
      <c r="F39" s="12" t="s">
        <v>263</v>
      </c>
      <c r="G39" s="11"/>
      <c r="H39" s="135" t="s">
        <v>201</v>
      </c>
      <c r="I39" s="13" t="s">
        <v>243</v>
      </c>
      <c r="J39" s="126"/>
      <c r="O39" s="28"/>
      <c r="P39" s="5"/>
      <c r="R39" s="1"/>
    </row>
    <row r="40" spans="1:19">
      <c r="A40" s="113">
        <v>46266</v>
      </c>
      <c r="B40" s="13" t="s">
        <v>68</v>
      </c>
      <c r="C40" s="114">
        <f>C39+1</f>
        <v>29</v>
      </c>
      <c r="D40" s="12" t="s">
        <v>263</v>
      </c>
      <c r="E40" s="13" t="s">
        <v>198</v>
      </c>
      <c r="F40" s="139"/>
      <c r="G40" s="11"/>
      <c r="H40" s="16" t="s">
        <v>195</v>
      </c>
      <c r="I40" s="68" t="s">
        <v>292</v>
      </c>
      <c r="J40" s="12"/>
      <c r="O40" s="28"/>
      <c r="P40" s="5"/>
      <c r="R40" s="1"/>
    </row>
    <row r="41" spans="1:19">
      <c r="A41" s="113">
        <v>46267</v>
      </c>
      <c r="B41" s="13" t="s">
        <v>69</v>
      </c>
      <c r="C41" s="114">
        <f t="shared" ref="C41:C42" si="7">C40+1</f>
        <v>30</v>
      </c>
      <c r="D41" s="125"/>
      <c r="E41" s="13" t="s">
        <v>196</v>
      </c>
      <c r="F41" s="12" t="s">
        <v>263</v>
      </c>
      <c r="G41" s="11"/>
      <c r="H41" s="125"/>
      <c r="I41" s="135" t="s">
        <v>201</v>
      </c>
      <c r="J41" s="13"/>
      <c r="K41" s="110"/>
      <c r="O41" s="28"/>
      <c r="P41" s="5"/>
      <c r="R41" s="1"/>
    </row>
    <row r="42" spans="1:19">
      <c r="A42" s="113">
        <v>46268</v>
      </c>
      <c r="B42" s="13" t="s">
        <v>70</v>
      </c>
      <c r="C42" s="114">
        <f t="shared" si="7"/>
        <v>31</v>
      </c>
      <c r="D42" s="12" t="s">
        <v>195</v>
      </c>
      <c r="E42" s="140"/>
      <c r="F42" s="13" t="s">
        <v>196</v>
      </c>
      <c r="G42" s="11"/>
      <c r="H42" s="11" t="s">
        <v>273</v>
      </c>
      <c r="I42" s="140"/>
      <c r="J42" s="13" t="s">
        <v>194</v>
      </c>
      <c r="O42" s="28"/>
      <c r="P42" s="5"/>
      <c r="Q42" s="1"/>
      <c r="R42" s="1"/>
      <c r="S42" s="28"/>
    </row>
    <row r="43" spans="1:19">
      <c r="A43" s="113">
        <v>46269</v>
      </c>
      <c r="B43" s="13" t="s">
        <v>71</v>
      </c>
      <c r="C43" s="114" t="s">
        <v>81</v>
      </c>
      <c r="D43" s="13"/>
      <c r="E43" s="140"/>
      <c r="F43" s="14"/>
      <c r="G43" s="11"/>
      <c r="H43" s="13"/>
      <c r="I43" s="174"/>
      <c r="J43" s="12"/>
      <c r="K43" s="28"/>
      <c r="O43" s="28"/>
      <c r="P43" s="5"/>
      <c r="Q43" s="1"/>
      <c r="R43" s="1"/>
      <c r="S43" s="1"/>
    </row>
    <row r="44" spans="1:19">
      <c r="A44" s="113">
        <v>46270</v>
      </c>
      <c r="B44" s="13" t="s">
        <v>72</v>
      </c>
      <c r="C44" s="12">
        <f>C42+1</f>
        <v>32</v>
      </c>
      <c r="D44" s="10" t="s">
        <v>196</v>
      </c>
      <c r="E44" s="10" t="s">
        <v>195</v>
      </c>
      <c r="F44" s="13" t="s">
        <v>242</v>
      </c>
      <c r="G44" s="14"/>
      <c r="H44" s="13" t="s">
        <v>242</v>
      </c>
      <c r="I44" s="13"/>
      <c r="J44" s="109"/>
      <c r="O44" s="28"/>
      <c r="P44" s="5"/>
      <c r="Q44" s="1"/>
      <c r="R44" s="1"/>
      <c r="S44" s="3"/>
    </row>
    <row r="45" spans="1:19">
      <c r="A45" s="113">
        <v>46271</v>
      </c>
      <c r="B45" s="13" t="s">
        <v>73</v>
      </c>
      <c r="C45" s="114"/>
      <c r="D45" s="13"/>
      <c r="E45" s="12"/>
      <c r="F45" s="13"/>
      <c r="G45" s="15"/>
      <c r="H45" s="109"/>
      <c r="I45" s="10"/>
      <c r="J45" s="13"/>
      <c r="O45" s="28"/>
      <c r="P45" s="5"/>
      <c r="Q45" s="1"/>
      <c r="R45" s="1"/>
      <c r="S45" s="1"/>
    </row>
    <row r="46" spans="1:19">
      <c r="A46" s="113">
        <v>46272</v>
      </c>
      <c r="B46" s="13" t="s">
        <v>67</v>
      </c>
      <c r="C46" s="114">
        <f>C44+1</f>
        <v>33</v>
      </c>
      <c r="D46" s="13" t="s">
        <v>194</v>
      </c>
      <c r="E46" s="139"/>
      <c r="F46" s="12" t="s">
        <v>198</v>
      </c>
      <c r="G46" s="11"/>
      <c r="H46" s="135" t="s">
        <v>201</v>
      </c>
      <c r="I46" s="13" t="s">
        <v>243</v>
      </c>
      <c r="J46" s="126"/>
      <c r="K46" s="5" t="s">
        <v>337</v>
      </c>
      <c r="O46" s="28"/>
      <c r="P46" s="5"/>
      <c r="Q46" s="1"/>
      <c r="R46" s="1"/>
      <c r="S46" s="1"/>
    </row>
    <row r="47" spans="1:19">
      <c r="A47" s="113">
        <v>46273</v>
      </c>
      <c r="B47" s="13" t="s">
        <v>68</v>
      </c>
      <c r="C47" s="114">
        <f>C46+1</f>
        <v>34</v>
      </c>
      <c r="D47" s="12" t="s">
        <v>263</v>
      </c>
      <c r="E47" s="13" t="s">
        <v>198</v>
      </c>
      <c r="F47" s="139"/>
      <c r="G47" s="11"/>
      <c r="H47" s="16" t="s">
        <v>195</v>
      </c>
      <c r="I47" s="68" t="s">
        <v>292</v>
      </c>
      <c r="J47" s="12"/>
      <c r="O47" s="28"/>
      <c r="P47" s="5"/>
      <c r="Q47" s="1"/>
      <c r="R47" s="1"/>
      <c r="S47" s="1"/>
    </row>
    <row r="48" spans="1:19">
      <c r="A48" s="113">
        <v>46274</v>
      </c>
      <c r="B48" s="13" t="s">
        <v>69</v>
      </c>
      <c r="C48" s="114">
        <f t="shared" ref="C48:C51" si="8">C47+1</f>
        <v>35</v>
      </c>
      <c r="D48" s="125"/>
      <c r="E48" s="13" t="s">
        <v>196</v>
      </c>
      <c r="F48" s="12" t="s">
        <v>263</v>
      </c>
      <c r="G48" s="11"/>
      <c r="H48" s="125"/>
      <c r="I48" s="135" t="s">
        <v>201</v>
      </c>
      <c r="J48" s="13"/>
      <c r="K48" s="110"/>
      <c r="O48" s="28"/>
      <c r="P48" s="5"/>
      <c r="Q48" s="1"/>
      <c r="R48" s="1"/>
      <c r="S48" s="1"/>
    </row>
    <row r="49" spans="1:19">
      <c r="A49" s="113">
        <v>46275</v>
      </c>
      <c r="B49" s="13" t="s">
        <v>70</v>
      </c>
      <c r="C49" s="114">
        <f t="shared" si="8"/>
        <v>36</v>
      </c>
      <c r="D49" s="12" t="s">
        <v>195</v>
      </c>
      <c r="E49" s="140"/>
      <c r="F49" s="13" t="s">
        <v>196</v>
      </c>
      <c r="G49" s="11"/>
      <c r="H49" s="11" t="s">
        <v>273</v>
      </c>
      <c r="I49" s="140"/>
      <c r="J49" s="13" t="s">
        <v>194</v>
      </c>
      <c r="O49" s="28"/>
      <c r="P49" s="5"/>
      <c r="Q49" s="1"/>
      <c r="R49" s="1"/>
      <c r="S49" s="1"/>
    </row>
    <row r="50" spans="1:19" ht="30">
      <c r="A50" s="113">
        <v>46276</v>
      </c>
      <c r="B50" s="13" t="s">
        <v>71</v>
      </c>
      <c r="C50" s="114">
        <f t="shared" si="8"/>
        <v>37</v>
      </c>
      <c r="D50" s="13" t="s">
        <v>194</v>
      </c>
      <c r="E50" s="140"/>
      <c r="F50" s="14" t="s">
        <v>272</v>
      </c>
      <c r="G50" s="11"/>
      <c r="H50" s="13" t="s">
        <v>157</v>
      </c>
      <c r="I50" s="174" t="s">
        <v>320</v>
      </c>
      <c r="J50" s="12" t="s">
        <v>157</v>
      </c>
      <c r="K50" s="28" t="s">
        <v>321</v>
      </c>
      <c r="O50" s="28"/>
      <c r="P50" s="5"/>
      <c r="Q50" s="1"/>
      <c r="R50" s="1"/>
      <c r="S50" s="1"/>
    </row>
    <row r="51" spans="1:19">
      <c r="A51" s="113">
        <v>46277</v>
      </c>
      <c r="B51" s="13" t="s">
        <v>72</v>
      </c>
      <c r="C51" s="114">
        <f t="shared" si="8"/>
        <v>38</v>
      </c>
      <c r="D51" s="10" t="s">
        <v>196</v>
      </c>
      <c r="E51" s="10" t="s">
        <v>195</v>
      </c>
      <c r="F51" s="13" t="s">
        <v>242</v>
      </c>
      <c r="G51" s="14"/>
      <c r="H51" s="13" t="s">
        <v>242</v>
      </c>
      <c r="I51" s="13"/>
      <c r="J51" s="109"/>
      <c r="O51" s="28"/>
      <c r="P51" s="5"/>
      <c r="Q51" s="1"/>
      <c r="R51" s="1"/>
      <c r="S51" s="1"/>
    </row>
    <row r="52" spans="1:19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N52" s="1"/>
      <c r="P52" s="5"/>
      <c r="Q52" s="1"/>
      <c r="R52" s="1"/>
      <c r="S52" s="1"/>
    </row>
  </sheetData>
  <mergeCells count="2">
    <mergeCell ref="A1:J1"/>
    <mergeCell ref="A2:J2"/>
  </mergeCells>
  <conditionalFormatting sqref="B1:B2">
    <cfRule type="cellIs" dxfId="23" priority="2" operator="equal">
      <formula>"Sat"</formula>
    </cfRule>
  </conditionalFormatting>
  <conditionalFormatting sqref="B4:B52">
    <cfRule type="containsText" dxfId="22" priority="1" operator="containsText" text="Sun">
      <formula>NOT(ISERROR(SEARCH("Sun",B4)))</formula>
    </cfRule>
  </conditionalFormatting>
  <conditionalFormatting sqref="B60:B1048576">
    <cfRule type="cellIs" dxfId="21" priority="6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B878-C257-41D1-A17F-183328D36601}">
  <dimension ref="A1:R52"/>
  <sheetViews>
    <sheetView topLeftCell="A20" zoomScale="90" zoomScaleNormal="90" workbookViewId="0">
      <selection activeCell="A53" sqref="A53:XFD165"/>
    </sheetView>
  </sheetViews>
  <sheetFormatPr defaultRowHeight="15"/>
  <cols>
    <col min="1" max="1" width="10.85546875" style="103" bestFit="1" customWidth="1"/>
    <col min="2" max="2" width="10.85546875" style="104" customWidth="1"/>
    <col min="3" max="3" width="14.5703125" style="104" bestFit="1" customWidth="1"/>
    <col min="4" max="4" width="11.7109375" style="101" bestFit="1" customWidth="1"/>
    <col min="5" max="5" width="12.42578125" style="101" bestFit="1" customWidth="1"/>
    <col min="6" max="6" width="15.140625" style="101" bestFit="1" customWidth="1"/>
    <col min="7" max="7" width="11.85546875" style="101" bestFit="1" customWidth="1"/>
    <col min="8" max="8" width="15.140625" style="101" bestFit="1" customWidth="1"/>
    <col min="9" max="9" width="12.42578125" style="101" bestFit="1" customWidth="1"/>
    <col min="10" max="10" width="11.85546875" style="101" bestFit="1" customWidth="1"/>
    <col min="11" max="11" width="15" style="5" customWidth="1"/>
    <col min="12" max="12" width="13.42578125" style="3" bestFit="1" customWidth="1"/>
    <col min="13" max="13" width="9.42578125" style="3" bestFit="1" customWidth="1"/>
    <col min="14" max="14" width="53.140625" style="5" bestFit="1" customWidth="1"/>
    <col min="15" max="15" width="7" style="1" bestFit="1" customWidth="1"/>
    <col min="16" max="16" width="9.140625" style="5" bestFit="1" customWidth="1"/>
    <col min="17" max="17" width="5.5703125" style="5" bestFit="1" customWidth="1"/>
    <col min="18" max="18" width="24.5703125" style="5" customWidth="1"/>
    <col min="19" max="16384" width="9.140625" style="5"/>
  </cols>
  <sheetData>
    <row r="1" spans="1:18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  <c r="K1" s="2"/>
    </row>
    <row r="2" spans="1:18" ht="18.75">
      <c r="A2" s="277" t="s">
        <v>286</v>
      </c>
      <c r="B2" s="277"/>
      <c r="C2" s="277"/>
      <c r="D2" s="277"/>
      <c r="E2" s="277"/>
      <c r="F2" s="277"/>
      <c r="G2" s="277"/>
      <c r="H2" s="277"/>
      <c r="I2" s="277"/>
      <c r="J2" s="277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100" t="s">
        <v>18</v>
      </c>
      <c r="N3" s="49" t="s">
        <v>1</v>
      </c>
      <c r="O3" s="49" t="s">
        <v>2</v>
      </c>
      <c r="P3" s="49" t="s">
        <v>3</v>
      </c>
      <c r="Q3" s="49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25"/>
      <c r="E4" s="16" t="s">
        <v>198</v>
      </c>
      <c r="F4" s="12" t="s">
        <v>263</v>
      </c>
      <c r="G4" s="11"/>
      <c r="H4" s="135" t="s">
        <v>201</v>
      </c>
      <c r="I4" s="13" t="s">
        <v>243</v>
      </c>
      <c r="J4" s="13"/>
      <c r="K4" s="110"/>
      <c r="L4" s="121" t="s">
        <v>154</v>
      </c>
      <c r="M4" s="105" t="s">
        <v>194</v>
      </c>
      <c r="N4" s="120" t="s">
        <v>153</v>
      </c>
      <c r="O4" s="121">
        <v>4</v>
      </c>
      <c r="P4" s="7">
        <f>Q4/1.25</f>
        <v>48</v>
      </c>
      <c r="Q4" s="95">
        <f>O4*15</f>
        <v>60</v>
      </c>
      <c r="R4" s="136" t="s">
        <v>156</v>
      </c>
    </row>
    <row r="5" spans="1:18">
      <c r="A5" s="113">
        <v>46231</v>
      </c>
      <c r="B5" s="13" t="s">
        <v>68</v>
      </c>
      <c r="C5" s="13">
        <f>C4+1</f>
        <v>2</v>
      </c>
      <c r="D5" s="12" t="s">
        <v>263</v>
      </c>
      <c r="E5" s="140"/>
      <c r="F5" s="16" t="s">
        <v>195</v>
      </c>
      <c r="G5" s="11"/>
      <c r="H5" s="139"/>
      <c r="I5" s="13" t="s">
        <v>243</v>
      </c>
      <c r="J5" s="12"/>
      <c r="K5" s="110"/>
      <c r="L5" s="121" t="s">
        <v>124</v>
      </c>
      <c r="M5" s="105" t="s">
        <v>195</v>
      </c>
      <c r="N5" s="120" t="s">
        <v>123</v>
      </c>
      <c r="O5" s="121">
        <v>3</v>
      </c>
      <c r="P5" s="7">
        <f t="shared" ref="P5:P17" si="0">Q5/1.25</f>
        <v>36</v>
      </c>
      <c r="Q5" s="95">
        <f t="shared" ref="Q5:Q17" si="1">O5*15</f>
        <v>45</v>
      </c>
      <c r="R5" s="136" t="s">
        <v>211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0" t="s">
        <v>196</v>
      </c>
      <c r="E6" s="125"/>
      <c r="F6" s="12" t="s">
        <v>263</v>
      </c>
      <c r="G6" s="11"/>
      <c r="H6" s="13" t="s">
        <v>194</v>
      </c>
      <c r="I6" s="135" t="s">
        <v>201</v>
      </c>
      <c r="J6" s="125"/>
      <c r="K6" s="110"/>
      <c r="L6" s="121" t="s">
        <v>140</v>
      </c>
      <c r="M6" s="105" t="s">
        <v>196</v>
      </c>
      <c r="N6" s="120" t="s">
        <v>139</v>
      </c>
      <c r="O6" s="121">
        <v>4</v>
      </c>
      <c r="P6" s="7">
        <f t="shared" si="0"/>
        <v>48</v>
      </c>
      <c r="Q6" s="95">
        <f t="shared" si="1"/>
        <v>60</v>
      </c>
      <c r="R6" s="136" t="s">
        <v>108</v>
      </c>
    </row>
    <row r="7" spans="1:18">
      <c r="A7" s="113">
        <v>46233</v>
      </c>
      <c r="B7" s="13" t="s">
        <v>70</v>
      </c>
      <c r="C7" s="13">
        <f t="shared" si="2"/>
        <v>4</v>
      </c>
      <c r="D7" s="140"/>
      <c r="E7" s="12" t="s">
        <v>195</v>
      </c>
      <c r="F7" s="140" t="s">
        <v>198</v>
      </c>
      <c r="G7" s="11"/>
      <c r="H7" s="13" t="s">
        <v>243</v>
      </c>
      <c r="I7" s="13" t="s">
        <v>195</v>
      </c>
      <c r="J7" s="125"/>
      <c r="L7" s="121" t="s">
        <v>138</v>
      </c>
      <c r="M7" s="105" t="s">
        <v>197</v>
      </c>
      <c r="N7" s="120" t="s">
        <v>137</v>
      </c>
      <c r="O7" s="121">
        <v>2</v>
      </c>
      <c r="P7" s="7">
        <f t="shared" si="0"/>
        <v>24</v>
      </c>
      <c r="Q7" s="95">
        <f t="shared" si="1"/>
        <v>30</v>
      </c>
      <c r="R7" s="136" t="s">
        <v>234</v>
      </c>
    </row>
    <row r="8" spans="1:18">
      <c r="A8" s="113">
        <v>46234</v>
      </c>
      <c r="B8" s="13" t="s">
        <v>71</v>
      </c>
      <c r="C8" s="13">
        <f t="shared" si="2"/>
        <v>5</v>
      </c>
      <c r="D8" s="125"/>
      <c r="E8" s="13" t="s">
        <v>196</v>
      </c>
      <c r="F8" s="13" t="s">
        <v>265</v>
      </c>
      <c r="G8" s="11"/>
      <c r="H8" s="125"/>
      <c r="I8" s="135" t="s">
        <v>201</v>
      </c>
      <c r="J8" s="12"/>
      <c r="L8" s="121" t="s">
        <v>149</v>
      </c>
      <c r="M8" s="105" t="s">
        <v>198</v>
      </c>
      <c r="N8" s="120" t="s">
        <v>148</v>
      </c>
      <c r="O8" s="121">
        <v>2</v>
      </c>
      <c r="P8" s="7">
        <f t="shared" si="0"/>
        <v>24</v>
      </c>
      <c r="Q8" s="95">
        <f t="shared" si="1"/>
        <v>30</v>
      </c>
      <c r="R8" s="136" t="s">
        <v>101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 t="s">
        <v>196</v>
      </c>
      <c r="F9" s="13" t="s">
        <v>242</v>
      </c>
      <c r="G9" s="14"/>
      <c r="H9" s="13" t="s">
        <v>242</v>
      </c>
      <c r="I9" s="13"/>
      <c r="J9" s="109"/>
      <c r="L9" s="130" t="s">
        <v>117</v>
      </c>
      <c r="M9" s="131" t="s">
        <v>206</v>
      </c>
      <c r="N9" s="132" t="s">
        <v>116</v>
      </c>
      <c r="O9" s="130">
        <v>4</v>
      </c>
      <c r="P9" s="133">
        <f t="shared" si="0"/>
        <v>48</v>
      </c>
      <c r="Q9" s="134">
        <f t="shared" si="1"/>
        <v>60</v>
      </c>
      <c r="R9" s="137" t="s">
        <v>76</v>
      </c>
    </row>
    <row r="10" spans="1:18">
      <c r="A10" s="113">
        <v>46236</v>
      </c>
      <c r="B10" s="13" t="s">
        <v>73</v>
      </c>
      <c r="C10" s="13"/>
      <c r="D10" s="176"/>
      <c r="E10" s="176"/>
      <c r="F10" s="214"/>
      <c r="G10" s="93"/>
      <c r="H10" s="214"/>
      <c r="I10" s="176"/>
      <c r="J10" s="175"/>
      <c r="L10" s="130" t="s">
        <v>119</v>
      </c>
      <c r="M10" s="131" t="s">
        <v>199</v>
      </c>
      <c r="N10" s="132" t="s">
        <v>118</v>
      </c>
      <c r="O10" s="130">
        <v>4</v>
      </c>
      <c r="P10" s="133">
        <f t="shared" si="0"/>
        <v>48</v>
      </c>
      <c r="Q10" s="134">
        <f t="shared" si="1"/>
        <v>60</v>
      </c>
      <c r="R10" s="137" t="s">
        <v>120</v>
      </c>
    </row>
    <row r="11" spans="1:18">
      <c r="A11" s="113">
        <v>46237</v>
      </c>
      <c r="B11" s="13" t="s">
        <v>67</v>
      </c>
      <c r="C11" s="171">
        <f>C9+1</f>
        <v>7</v>
      </c>
      <c r="D11" s="125"/>
      <c r="E11" s="16" t="s">
        <v>198</v>
      </c>
      <c r="F11" s="73" t="s">
        <v>263</v>
      </c>
      <c r="G11" s="11"/>
      <c r="H11" s="135" t="s">
        <v>201</v>
      </c>
      <c r="I11" s="13" t="s">
        <v>243</v>
      </c>
      <c r="J11" s="13" t="s">
        <v>194</v>
      </c>
      <c r="L11" s="130" t="s">
        <v>122</v>
      </c>
      <c r="M11" s="131" t="s">
        <v>157</v>
      </c>
      <c r="N11" s="132" t="s">
        <v>121</v>
      </c>
      <c r="O11" s="130">
        <v>4</v>
      </c>
      <c r="P11" s="133">
        <f t="shared" si="0"/>
        <v>48</v>
      </c>
      <c r="Q11" s="134">
        <f t="shared" si="1"/>
        <v>60</v>
      </c>
      <c r="R11" s="137" t="s">
        <v>233</v>
      </c>
    </row>
    <row r="12" spans="1:18">
      <c r="A12" s="113">
        <v>46238</v>
      </c>
      <c r="B12" s="13" t="s">
        <v>68</v>
      </c>
      <c r="C12" s="171">
        <f>C11+1</f>
        <v>8</v>
      </c>
      <c r="D12" s="73" t="s">
        <v>205</v>
      </c>
      <c r="E12" s="140"/>
      <c r="F12" s="16" t="s">
        <v>195</v>
      </c>
      <c r="G12" s="11"/>
      <c r="H12" s="139"/>
      <c r="I12" s="13" t="s">
        <v>243</v>
      </c>
      <c r="J12" s="12"/>
      <c r="L12" s="130" t="s">
        <v>126</v>
      </c>
      <c r="M12" s="131" t="s">
        <v>200</v>
      </c>
      <c r="N12" s="132" t="s">
        <v>125</v>
      </c>
      <c r="O12" s="130">
        <v>4</v>
      </c>
      <c r="P12" s="133">
        <f t="shared" si="0"/>
        <v>48</v>
      </c>
      <c r="Q12" s="133">
        <f t="shared" si="1"/>
        <v>60</v>
      </c>
      <c r="R12" s="137" t="s">
        <v>232</v>
      </c>
    </row>
    <row r="13" spans="1:18">
      <c r="A13" s="113">
        <v>46239</v>
      </c>
      <c r="B13" s="13" t="s">
        <v>69</v>
      </c>
      <c r="C13" s="171">
        <f t="shared" ref="C13:C16" si="3">C12+1</f>
        <v>9</v>
      </c>
      <c r="D13" s="10" t="s">
        <v>196</v>
      </c>
      <c r="E13" s="125"/>
      <c r="F13" s="73" t="s">
        <v>205</v>
      </c>
      <c r="G13" s="11"/>
      <c r="H13" s="13" t="s">
        <v>194</v>
      </c>
      <c r="I13" s="135" t="s">
        <v>201</v>
      </c>
      <c r="J13" s="125"/>
      <c r="L13" s="130" t="s">
        <v>128</v>
      </c>
      <c r="M13" s="131" t="s">
        <v>201</v>
      </c>
      <c r="N13" s="132" t="s">
        <v>127</v>
      </c>
      <c r="O13" s="130">
        <v>4</v>
      </c>
      <c r="P13" s="133">
        <f t="shared" si="0"/>
        <v>48</v>
      </c>
      <c r="Q13" s="133">
        <f t="shared" si="1"/>
        <v>60</v>
      </c>
      <c r="R13" s="137" t="s">
        <v>281</v>
      </c>
    </row>
    <row r="14" spans="1:18">
      <c r="A14" s="113">
        <v>46240</v>
      </c>
      <c r="B14" s="13" t="s">
        <v>70</v>
      </c>
      <c r="C14" s="171">
        <f t="shared" si="3"/>
        <v>10</v>
      </c>
      <c r="D14" s="140"/>
      <c r="E14" s="12" t="s">
        <v>195</v>
      </c>
      <c r="F14" s="140" t="s">
        <v>198</v>
      </c>
      <c r="G14" s="14"/>
      <c r="H14" s="12" t="s">
        <v>273</v>
      </c>
      <c r="I14" s="12" t="s">
        <v>195</v>
      </c>
      <c r="J14" s="140"/>
      <c r="L14" s="130" t="s">
        <v>142</v>
      </c>
      <c r="M14" s="131" t="s">
        <v>207</v>
      </c>
      <c r="N14" s="132" t="s">
        <v>141</v>
      </c>
      <c r="O14" s="130">
        <v>4</v>
      </c>
      <c r="P14" s="133">
        <f t="shared" si="0"/>
        <v>48</v>
      </c>
      <c r="Q14" s="133">
        <f t="shared" si="1"/>
        <v>60</v>
      </c>
      <c r="R14" s="137" t="s">
        <v>240</v>
      </c>
    </row>
    <row r="15" spans="1:18">
      <c r="A15" s="113">
        <v>46241</v>
      </c>
      <c r="B15" s="13" t="s">
        <v>71</v>
      </c>
      <c r="C15" s="171">
        <f t="shared" si="3"/>
        <v>11</v>
      </c>
      <c r="D15" s="140"/>
      <c r="E15" s="12" t="s">
        <v>196</v>
      </c>
      <c r="F15" s="12" t="s">
        <v>272</v>
      </c>
      <c r="G15" s="14"/>
      <c r="H15" s="140"/>
      <c r="I15" s="148" t="s">
        <v>201</v>
      </c>
      <c r="J15" s="12"/>
      <c r="L15" s="130" t="s">
        <v>144</v>
      </c>
      <c r="M15" s="131" t="s">
        <v>208</v>
      </c>
      <c r="N15" s="132" t="s">
        <v>143</v>
      </c>
      <c r="O15" s="130">
        <v>4</v>
      </c>
      <c r="P15" s="133">
        <f t="shared" si="0"/>
        <v>48</v>
      </c>
      <c r="Q15" s="133">
        <f t="shared" si="1"/>
        <v>60</v>
      </c>
      <c r="R15" s="137" t="s">
        <v>79</v>
      </c>
    </row>
    <row r="16" spans="1:18">
      <c r="A16" s="113">
        <v>46242</v>
      </c>
      <c r="B16" s="13" t="s">
        <v>72</v>
      </c>
      <c r="C16" s="171">
        <f t="shared" si="3"/>
        <v>12</v>
      </c>
      <c r="D16" s="241"/>
      <c r="E16" s="241" t="s">
        <v>196</v>
      </c>
      <c r="F16" s="12" t="s">
        <v>242</v>
      </c>
      <c r="G16" s="14"/>
      <c r="H16" s="12" t="s">
        <v>242</v>
      </c>
      <c r="I16" s="12"/>
      <c r="J16" s="242"/>
      <c r="L16" s="130" t="s">
        <v>146</v>
      </c>
      <c r="M16" s="131" t="s">
        <v>209</v>
      </c>
      <c r="N16" s="132" t="s">
        <v>145</v>
      </c>
      <c r="O16" s="130">
        <v>4</v>
      </c>
      <c r="P16" s="133">
        <f t="shared" si="0"/>
        <v>48</v>
      </c>
      <c r="Q16" s="133">
        <f t="shared" si="1"/>
        <v>60</v>
      </c>
      <c r="R16" s="137" t="s">
        <v>147</v>
      </c>
    </row>
    <row r="17" spans="1:18">
      <c r="A17" s="113">
        <v>46243</v>
      </c>
      <c r="B17" s="13" t="s">
        <v>73</v>
      </c>
      <c r="C17" s="171"/>
      <c r="D17" s="176"/>
      <c r="E17" s="176"/>
      <c r="F17" s="214"/>
      <c r="G17" s="93"/>
      <c r="H17" s="214"/>
      <c r="I17" s="176"/>
      <c r="J17" s="175"/>
      <c r="L17" s="130" t="s">
        <v>152</v>
      </c>
      <c r="M17" s="131" t="s">
        <v>202</v>
      </c>
      <c r="N17" s="132" t="s">
        <v>151</v>
      </c>
      <c r="O17" s="130">
        <v>4</v>
      </c>
      <c r="P17" s="133">
        <f t="shared" si="0"/>
        <v>48</v>
      </c>
      <c r="Q17" s="133">
        <f t="shared" si="1"/>
        <v>60</v>
      </c>
      <c r="R17" s="137" t="s">
        <v>241</v>
      </c>
    </row>
    <row r="18" spans="1:18">
      <c r="A18" s="113">
        <v>46244</v>
      </c>
      <c r="B18" s="13" t="s">
        <v>67</v>
      </c>
      <c r="C18" s="171">
        <f>C16+1</f>
        <v>13</v>
      </c>
      <c r="D18" s="125"/>
      <c r="E18" s="16" t="s">
        <v>198</v>
      </c>
      <c r="F18" s="12" t="s">
        <v>263</v>
      </c>
      <c r="G18" s="11"/>
      <c r="H18" s="135" t="s">
        <v>201</v>
      </c>
      <c r="I18" s="13" t="s">
        <v>243</v>
      </c>
      <c r="J18" s="13" t="s">
        <v>194</v>
      </c>
      <c r="L18" s="130" t="s">
        <v>130</v>
      </c>
      <c r="M18" s="131" t="s">
        <v>203</v>
      </c>
      <c r="N18" s="132" t="s">
        <v>129</v>
      </c>
      <c r="O18" s="130">
        <v>4</v>
      </c>
      <c r="P18" s="133">
        <f>Q18/1.25</f>
        <v>48</v>
      </c>
      <c r="Q18" s="133">
        <f>O18*15</f>
        <v>60</v>
      </c>
      <c r="R18" s="137" t="s">
        <v>131</v>
      </c>
    </row>
    <row r="19" spans="1:18">
      <c r="A19" s="113">
        <v>46245</v>
      </c>
      <c r="B19" s="13" t="s">
        <v>68</v>
      </c>
      <c r="C19" s="171">
        <f>C18+1</f>
        <v>14</v>
      </c>
      <c r="D19" s="12" t="s">
        <v>263</v>
      </c>
      <c r="E19" s="140"/>
      <c r="F19" s="16" t="s">
        <v>195</v>
      </c>
      <c r="G19" s="11"/>
      <c r="H19" s="139"/>
      <c r="I19" s="68" t="s">
        <v>292</v>
      </c>
      <c r="J19" s="12"/>
      <c r="L19" s="130" t="s">
        <v>133</v>
      </c>
      <c r="M19" s="131" t="s">
        <v>204</v>
      </c>
      <c r="N19" s="132" t="s">
        <v>132</v>
      </c>
      <c r="O19" s="130">
        <v>4</v>
      </c>
      <c r="P19" s="133">
        <f>Q19/1.25</f>
        <v>48</v>
      </c>
      <c r="Q19" s="133">
        <f>O19*15</f>
        <v>60</v>
      </c>
      <c r="R19" s="137" t="s">
        <v>134</v>
      </c>
    </row>
    <row r="20" spans="1:18">
      <c r="A20" s="113">
        <v>46246</v>
      </c>
      <c r="B20" s="13" t="s">
        <v>69</v>
      </c>
      <c r="C20" s="171">
        <f t="shared" ref="C20:C22" si="4">C19+1</f>
        <v>15</v>
      </c>
      <c r="D20" s="10" t="s">
        <v>196</v>
      </c>
      <c r="E20" s="125"/>
      <c r="F20" s="12" t="s">
        <v>263</v>
      </c>
      <c r="G20" s="11"/>
      <c r="H20" s="13" t="s">
        <v>194</v>
      </c>
      <c r="I20" s="135" t="s">
        <v>201</v>
      </c>
      <c r="J20" s="125"/>
      <c r="K20" s="110"/>
      <c r="L20" s="130" t="s">
        <v>136</v>
      </c>
      <c r="M20" s="131" t="s">
        <v>205</v>
      </c>
      <c r="N20" s="132" t="s">
        <v>135</v>
      </c>
      <c r="O20" s="130">
        <v>4</v>
      </c>
      <c r="P20" s="133">
        <f>Q20/1.25</f>
        <v>48</v>
      </c>
      <c r="Q20" s="133">
        <f>O20*15</f>
        <v>60</v>
      </c>
      <c r="R20" s="137" t="s">
        <v>96</v>
      </c>
    </row>
    <row r="21" spans="1:18">
      <c r="A21" s="113">
        <v>46247</v>
      </c>
      <c r="B21" s="13" t="s">
        <v>70</v>
      </c>
      <c r="C21" s="171">
        <f t="shared" si="4"/>
        <v>16</v>
      </c>
      <c r="D21" s="140"/>
      <c r="E21" s="12" t="s">
        <v>195</v>
      </c>
      <c r="F21" s="140" t="s">
        <v>198</v>
      </c>
      <c r="G21" s="14"/>
      <c r="H21" s="12" t="s">
        <v>273</v>
      </c>
      <c r="I21" s="12" t="s">
        <v>195</v>
      </c>
      <c r="J21" s="140"/>
      <c r="L21" s="4"/>
      <c r="M21" s="4"/>
      <c r="N21" s="54"/>
      <c r="O21" s="4">
        <f>SUM(O4:O20)</f>
        <v>63</v>
      </c>
      <c r="P21" s="4">
        <f>SUM(P4:P20)</f>
        <v>756</v>
      </c>
      <c r="Q21" s="4">
        <f>SUM(Q4:Q20)</f>
        <v>945</v>
      </c>
      <c r="R21" s="99"/>
    </row>
    <row r="22" spans="1:18">
      <c r="A22" s="113">
        <v>46248</v>
      </c>
      <c r="B22" s="13" t="s">
        <v>71</v>
      </c>
      <c r="C22" s="171">
        <f t="shared" si="4"/>
        <v>17</v>
      </c>
      <c r="D22" s="13" t="s">
        <v>157</v>
      </c>
      <c r="E22" s="13" t="s">
        <v>157</v>
      </c>
      <c r="F22" s="14" t="s">
        <v>308</v>
      </c>
      <c r="G22" s="14"/>
      <c r="H22" s="140"/>
      <c r="I22" s="174" t="s">
        <v>293</v>
      </c>
      <c r="J22" s="12"/>
      <c r="K22" s="5" t="s">
        <v>309</v>
      </c>
    </row>
    <row r="23" spans="1:18">
      <c r="A23" s="113">
        <v>46249</v>
      </c>
      <c r="B23" s="13" t="s">
        <v>72</v>
      </c>
      <c r="C23" s="227" t="s">
        <v>23</v>
      </c>
      <c r="D23" s="259"/>
      <c r="E23" s="259"/>
      <c r="F23" s="210"/>
      <c r="G23" s="182"/>
      <c r="H23" s="210"/>
      <c r="I23" s="210"/>
      <c r="J23" s="260"/>
    </row>
    <row r="24" spans="1:18" hidden="1">
      <c r="A24" s="113">
        <v>46250</v>
      </c>
      <c r="B24" s="13" t="s">
        <v>73</v>
      </c>
      <c r="C24" s="227"/>
      <c r="D24" s="13"/>
      <c r="E24" s="12"/>
      <c r="F24" s="13"/>
      <c r="G24" s="15"/>
      <c r="H24" s="109"/>
      <c r="I24" s="10"/>
      <c r="J24" s="13"/>
    </row>
    <row r="25" spans="1:18" hidden="1">
      <c r="A25" s="113">
        <v>46251</v>
      </c>
      <c r="B25" s="13" t="s">
        <v>67</v>
      </c>
      <c r="C25" s="114">
        <f>C22+1</f>
        <v>18</v>
      </c>
      <c r="D25" s="125"/>
      <c r="E25" s="16" t="s">
        <v>198</v>
      </c>
      <c r="F25" s="12" t="s">
        <v>263</v>
      </c>
      <c r="G25" s="11"/>
      <c r="H25" s="135" t="s">
        <v>201</v>
      </c>
      <c r="I25" s="13" t="s">
        <v>243</v>
      </c>
      <c r="J25" s="13" t="s">
        <v>194</v>
      </c>
      <c r="N25" s="102"/>
      <c r="O25" s="5"/>
    </row>
    <row r="26" spans="1:18" hidden="1">
      <c r="A26" s="113">
        <v>46252</v>
      </c>
      <c r="B26" s="13" t="s">
        <v>68</v>
      </c>
      <c r="C26" s="114">
        <f>C25+1</f>
        <v>19</v>
      </c>
      <c r="D26" s="12" t="s">
        <v>263</v>
      </c>
      <c r="E26" s="140"/>
      <c r="F26" s="16" t="s">
        <v>195</v>
      </c>
      <c r="G26" s="11"/>
      <c r="H26" s="139"/>
      <c r="I26" s="68" t="s">
        <v>292</v>
      </c>
      <c r="J26" s="12"/>
      <c r="O26" s="5"/>
      <c r="P26" s="1"/>
      <c r="Q26" s="1"/>
    </row>
    <row r="27" spans="1:18" hidden="1">
      <c r="A27" s="113">
        <v>46253</v>
      </c>
      <c r="B27" s="13" t="s">
        <v>69</v>
      </c>
      <c r="C27" s="114">
        <f t="shared" ref="C27:C30" si="5">C26+1</f>
        <v>20</v>
      </c>
      <c r="D27" s="10" t="s">
        <v>196</v>
      </c>
      <c r="E27" s="125"/>
      <c r="F27" s="12" t="s">
        <v>263</v>
      </c>
      <c r="G27" s="11"/>
      <c r="H27" s="13" t="s">
        <v>194</v>
      </c>
      <c r="I27" s="135" t="s">
        <v>201</v>
      </c>
      <c r="J27" s="125"/>
      <c r="K27" s="110"/>
      <c r="N27" s="28"/>
      <c r="O27" s="5"/>
    </row>
    <row r="28" spans="1:18" hidden="1">
      <c r="A28" s="113">
        <v>46254</v>
      </c>
      <c r="B28" s="13" t="s">
        <v>70</v>
      </c>
      <c r="C28" s="114">
        <f t="shared" si="5"/>
        <v>21</v>
      </c>
      <c r="D28" s="140"/>
      <c r="E28" s="12" t="s">
        <v>195</v>
      </c>
      <c r="F28" s="140" t="s">
        <v>198</v>
      </c>
      <c r="G28" s="14"/>
      <c r="H28" s="12" t="s">
        <v>273</v>
      </c>
      <c r="I28" s="12" t="s">
        <v>195</v>
      </c>
      <c r="J28" s="140"/>
      <c r="N28" s="28"/>
    </row>
    <row r="29" spans="1:18" hidden="1">
      <c r="A29" s="113">
        <v>46255</v>
      </c>
      <c r="B29" s="13" t="s">
        <v>71</v>
      </c>
      <c r="C29" s="114">
        <f t="shared" si="5"/>
        <v>22</v>
      </c>
      <c r="D29" s="140"/>
      <c r="E29" s="12" t="s">
        <v>196</v>
      </c>
      <c r="F29" s="12" t="s">
        <v>272</v>
      </c>
      <c r="G29" s="14"/>
      <c r="H29" s="13"/>
      <c r="I29" s="174" t="s">
        <v>293</v>
      </c>
      <c r="J29" s="12"/>
      <c r="K29" s="5" t="s">
        <v>321</v>
      </c>
      <c r="N29" s="28"/>
    </row>
    <row r="30" spans="1:18" hidden="1">
      <c r="A30" s="113">
        <v>46256</v>
      </c>
      <c r="B30" s="13" t="s">
        <v>72</v>
      </c>
      <c r="C30" s="114">
        <f t="shared" si="5"/>
        <v>23</v>
      </c>
      <c r="D30" s="10"/>
      <c r="E30" s="241" t="s">
        <v>196</v>
      </c>
      <c r="F30" s="12" t="s">
        <v>242</v>
      </c>
      <c r="G30" s="14"/>
      <c r="H30" s="12" t="s">
        <v>242</v>
      </c>
      <c r="I30" s="13"/>
      <c r="J30" s="109"/>
      <c r="N30" s="28"/>
    </row>
    <row r="31" spans="1:18" hidden="1">
      <c r="A31" s="113">
        <v>46257</v>
      </c>
      <c r="B31" s="13" t="s">
        <v>73</v>
      </c>
      <c r="C31" s="114"/>
      <c r="D31" s="13"/>
      <c r="E31" s="12"/>
      <c r="F31" s="13"/>
      <c r="G31" s="15"/>
      <c r="H31" s="109"/>
      <c r="I31" s="13"/>
      <c r="J31" s="13"/>
      <c r="N31" s="28"/>
    </row>
    <row r="32" spans="1:18" hidden="1">
      <c r="A32" s="113">
        <v>46258</v>
      </c>
      <c r="B32" s="13" t="s">
        <v>67</v>
      </c>
      <c r="C32" s="114">
        <f>C29+1</f>
        <v>23</v>
      </c>
      <c r="D32" s="125"/>
      <c r="E32" s="16" t="s">
        <v>198</v>
      </c>
      <c r="F32" s="12" t="s">
        <v>263</v>
      </c>
      <c r="G32" s="11"/>
      <c r="H32" s="135" t="s">
        <v>201</v>
      </c>
      <c r="I32" s="13" t="s">
        <v>243</v>
      </c>
      <c r="J32" s="13" t="s">
        <v>194</v>
      </c>
      <c r="N32" s="29"/>
    </row>
    <row r="33" spans="1:18" hidden="1">
      <c r="A33" s="113">
        <v>46259</v>
      </c>
      <c r="B33" s="13" t="s">
        <v>68</v>
      </c>
      <c r="C33" s="114">
        <f>C32+1</f>
        <v>24</v>
      </c>
      <c r="D33" s="12" t="s">
        <v>263</v>
      </c>
      <c r="E33" s="140"/>
      <c r="F33" s="16" t="s">
        <v>195</v>
      </c>
      <c r="G33" s="11"/>
      <c r="H33" s="139"/>
      <c r="I33" s="68" t="s">
        <v>292</v>
      </c>
      <c r="J33" s="12"/>
      <c r="N33" s="28"/>
    </row>
    <row r="34" spans="1:18" hidden="1">
      <c r="A34" s="113">
        <v>46260</v>
      </c>
      <c r="B34" s="13" t="s">
        <v>69</v>
      </c>
      <c r="C34" s="114">
        <f t="shared" ref="C34:C35" si="6">C33+1</f>
        <v>25</v>
      </c>
      <c r="D34" s="10" t="s">
        <v>196</v>
      </c>
      <c r="E34" s="125"/>
      <c r="F34" s="12" t="s">
        <v>263</v>
      </c>
      <c r="G34" s="11"/>
      <c r="H34" s="13" t="s">
        <v>194</v>
      </c>
      <c r="I34" s="135" t="s">
        <v>201</v>
      </c>
      <c r="J34" s="125"/>
      <c r="K34" s="110"/>
      <c r="N34" s="28"/>
      <c r="O34" s="5"/>
      <c r="R34" s="1"/>
    </row>
    <row r="35" spans="1:18" hidden="1">
      <c r="A35" s="113">
        <v>46261</v>
      </c>
      <c r="B35" s="13" t="s">
        <v>70</v>
      </c>
      <c r="C35" s="114">
        <f t="shared" si="6"/>
        <v>26</v>
      </c>
      <c r="D35" s="140"/>
      <c r="E35" s="12" t="s">
        <v>195</v>
      </c>
      <c r="F35" s="140" t="s">
        <v>198</v>
      </c>
      <c r="G35" s="14"/>
      <c r="H35" s="12" t="s">
        <v>273</v>
      </c>
      <c r="I35" s="12" t="s">
        <v>195</v>
      </c>
      <c r="J35" s="140"/>
      <c r="N35" s="28"/>
      <c r="O35" s="5"/>
      <c r="Q35" s="1"/>
    </row>
    <row r="36" spans="1:18" hidden="1">
      <c r="A36" s="113">
        <v>46262</v>
      </c>
      <c r="B36" s="13" t="s">
        <v>71</v>
      </c>
      <c r="C36" s="114" t="s">
        <v>22</v>
      </c>
      <c r="D36" s="140"/>
      <c r="E36" s="12"/>
      <c r="F36" s="12"/>
      <c r="G36" s="14"/>
      <c r="H36" s="13"/>
      <c r="I36" s="174"/>
      <c r="J36" s="12"/>
      <c r="N36" s="28"/>
      <c r="O36" s="5"/>
      <c r="Q36" s="1"/>
    </row>
    <row r="37" spans="1:18" hidden="1">
      <c r="A37" s="113">
        <v>46263</v>
      </c>
      <c r="B37" s="13" t="s">
        <v>72</v>
      </c>
      <c r="C37" s="12">
        <f>C35+1</f>
        <v>27</v>
      </c>
      <c r="D37" s="10"/>
      <c r="E37" s="241" t="s">
        <v>196</v>
      </c>
      <c r="F37" s="12" t="s">
        <v>242</v>
      </c>
      <c r="G37" s="14"/>
      <c r="H37" s="12" t="s">
        <v>242</v>
      </c>
      <c r="I37" s="13"/>
      <c r="J37" s="109"/>
      <c r="N37" s="28"/>
      <c r="O37" s="5"/>
      <c r="Q37" s="1"/>
    </row>
    <row r="38" spans="1:18">
      <c r="A38" s="113">
        <v>46264</v>
      </c>
      <c r="B38" s="13" t="s">
        <v>73</v>
      </c>
      <c r="C38" s="115"/>
      <c r="D38" s="13"/>
      <c r="E38" s="13"/>
      <c r="F38" s="13"/>
      <c r="G38" s="15"/>
      <c r="H38" s="109"/>
      <c r="I38" s="10"/>
      <c r="J38" s="13"/>
      <c r="N38" s="28"/>
      <c r="O38" s="5"/>
      <c r="Q38" s="1"/>
    </row>
    <row r="39" spans="1:18">
      <c r="A39" s="113">
        <v>46265</v>
      </c>
      <c r="B39" s="13" t="s">
        <v>67</v>
      </c>
      <c r="C39" s="114">
        <f>C37+1</f>
        <v>28</v>
      </c>
      <c r="D39" s="125"/>
      <c r="E39" s="16" t="s">
        <v>198</v>
      </c>
      <c r="F39" s="12" t="s">
        <v>263</v>
      </c>
      <c r="G39" s="11"/>
      <c r="H39" s="135" t="s">
        <v>201</v>
      </c>
      <c r="I39" s="13" t="s">
        <v>243</v>
      </c>
      <c r="J39" s="13" t="s">
        <v>194</v>
      </c>
      <c r="N39" s="28"/>
      <c r="O39" s="5"/>
      <c r="Q39" s="1"/>
    </row>
    <row r="40" spans="1:18">
      <c r="A40" s="113">
        <v>46266</v>
      </c>
      <c r="B40" s="13" t="s">
        <v>68</v>
      </c>
      <c r="C40" s="114">
        <f>C39+1</f>
        <v>29</v>
      </c>
      <c r="D40" s="12" t="s">
        <v>263</v>
      </c>
      <c r="E40" s="140"/>
      <c r="F40" s="16" t="s">
        <v>195</v>
      </c>
      <c r="G40" s="11"/>
      <c r="H40" s="139"/>
      <c r="I40" s="68" t="s">
        <v>292</v>
      </c>
      <c r="J40" s="12"/>
      <c r="N40" s="28"/>
      <c r="O40" s="5"/>
      <c r="Q40" s="1"/>
    </row>
    <row r="41" spans="1:18">
      <c r="A41" s="113">
        <v>46267</v>
      </c>
      <c r="B41" s="13" t="s">
        <v>69</v>
      </c>
      <c r="C41" s="114">
        <f t="shared" ref="C41:C42" si="7">C40+1</f>
        <v>30</v>
      </c>
      <c r="D41" s="10" t="s">
        <v>196</v>
      </c>
      <c r="E41" s="125"/>
      <c r="F41" s="12" t="s">
        <v>263</v>
      </c>
      <c r="G41" s="11"/>
      <c r="H41" s="13" t="s">
        <v>194</v>
      </c>
      <c r="I41" s="135" t="s">
        <v>201</v>
      </c>
      <c r="J41" s="125"/>
      <c r="K41" s="110"/>
      <c r="N41" s="28"/>
      <c r="O41" s="5"/>
      <c r="Q41" s="1"/>
    </row>
    <row r="42" spans="1:18">
      <c r="A42" s="113">
        <v>46268</v>
      </c>
      <c r="B42" s="13" t="s">
        <v>70</v>
      </c>
      <c r="C42" s="114">
        <f t="shared" si="7"/>
        <v>31</v>
      </c>
      <c r="D42" s="140"/>
      <c r="E42" s="12" t="s">
        <v>195</v>
      </c>
      <c r="F42" s="140" t="s">
        <v>198</v>
      </c>
      <c r="G42" s="14"/>
      <c r="H42" s="12" t="s">
        <v>273</v>
      </c>
      <c r="I42" s="12" t="s">
        <v>195</v>
      </c>
      <c r="J42" s="140"/>
      <c r="N42" s="28"/>
      <c r="O42" s="5"/>
      <c r="P42" s="1"/>
      <c r="Q42" s="1"/>
      <c r="R42" s="28"/>
    </row>
    <row r="43" spans="1:18">
      <c r="A43" s="113">
        <v>46269</v>
      </c>
      <c r="B43" s="13" t="s">
        <v>71</v>
      </c>
      <c r="C43" s="114" t="s">
        <v>81</v>
      </c>
      <c r="D43" s="140"/>
      <c r="E43" s="12"/>
      <c r="F43" s="12"/>
      <c r="G43" s="14"/>
      <c r="H43" s="13"/>
      <c r="I43" s="174"/>
      <c r="J43" s="12"/>
      <c r="N43" s="28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12">
        <f>C42+1</f>
        <v>32</v>
      </c>
      <c r="D44" s="10"/>
      <c r="E44" s="241" t="s">
        <v>196</v>
      </c>
      <c r="F44" s="12" t="s">
        <v>242</v>
      </c>
      <c r="G44" s="14"/>
      <c r="H44" s="12" t="s">
        <v>242</v>
      </c>
      <c r="I44" s="13"/>
      <c r="J44" s="109"/>
      <c r="N44" s="28"/>
      <c r="O44" s="5"/>
      <c r="P44" s="1"/>
      <c r="Q44" s="1"/>
      <c r="R44" s="3"/>
    </row>
    <row r="45" spans="1:18">
      <c r="A45" s="113">
        <v>46271</v>
      </c>
      <c r="B45" s="13" t="s">
        <v>73</v>
      </c>
      <c r="C45" s="114"/>
      <c r="D45" s="13"/>
      <c r="E45" s="12"/>
      <c r="F45" s="13"/>
      <c r="G45" s="15"/>
      <c r="H45" s="109"/>
      <c r="I45" s="10"/>
      <c r="J45" s="13"/>
      <c r="N45" s="28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114">
        <f>C44+1</f>
        <v>33</v>
      </c>
      <c r="D46" s="125"/>
      <c r="F46" s="16" t="s">
        <v>198</v>
      </c>
      <c r="G46" s="11"/>
      <c r="H46" s="135" t="s">
        <v>201</v>
      </c>
      <c r="I46" s="13" t="s">
        <v>243</v>
      </c>
      <c r="J46" s="13" t="s">
        <v>194</v>
      </c>
      <c r="K46" s="5" t="s">
        <v>337</v>
      </c>
      <c r="N46" s="28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114">
        <f>C46+1</f>
        <v>34</v>
      </c>
      <c r="D47" s="12" t="s">
        <v>263</v>
      </c>
      <c r="E47" s="140"/>
      <c r="F47" s="16" t="s">
        <v>195</v>
      </c>
      <c r="G47" s="11"/>
      <c r="H47" s="139"/>
      <c r="I47" s="68" t="s">
        <v>292</v>
      </c>
      <c r="J47" s="12"/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114">
        <f t="shared" ref="C48:C51" si="8">C47+1</f>
        <v>35</v>
      </c>
      <c r="D48" s="10" t="s">
        <v>196</v>
      </c>
      <c r="E48" s="125"/>
      <c r="F48" s="12" t="s">
        <v>263</v>
      </c>
      <c r="G48" s="11"/>
      <c r="H48" s="13" t="s">
        <v>194</v>
      </c>
      <c r="I48" s="135" t="s">
        <v>201</v>
      </c>
      <c r="J48" s="125"/>
      <c r="K48" s="110"/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114">
        <f t="shared" si="8"/>
        <v>36</v>
      </c>
      <c r="D49" s="140" t="s">
        <v>196</v>
      </c>
      <c r="E49" s="12" t="s">
        <v>195</v>
      </c>
      <c r="F49" s="140" t="s">
        <v>198</v>
      </c>
      <c r="G49" s="14"/>
      <c r="H49" s="12" t="s">
        <v>273</v>
      </c>
      <c r="I49" s="12" t="s">
        <v>195</v>
      </c>
      <c r="J49" s="140"/>
      <c r="K49" s="5" t="s">
        <v>315</v>
      </c>
      <c r="N49" s="28"/>
      <c r="O49" s="5"/>
      <c r="P49" s="1"/>
      <c r="Q49" s="1"/>
      <c r="R49" s="1"/>
    </row>
    <row r="50" spans="1:18" ht="30">
      <c r="A50" s="113">
        <v>46276</v>
      </c>
      <c r="B50" s="13" t="s">
        <v>71</v>
      </c>
      <c r="C50" s="114">
        <f t="shared" si="8"/>
        <v>37</v>
      </c>
      <c r="D50" s="140"/>
      <c r="E50" s="12" t="s">
        <v>196</v>
      </c>
      <c r="F50" s="14" t="s">
        <v>272</v>
      </c>
      <c r="G50" s="14"/>
      <c r="H50" s="13" t="s">
        <v>157</v>
      </c>
      <c r="I50" s="174" t="s">
        <v>320</v>
      </c>
      <c r="J50" s="12" t="s">
        <v>157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8"/>
        <v>38</v>
      </c>
      <c r="D51" s="10"/>
      <c r="E51" s="241"/>
      <c r="F51" s="12" t="s">
        <v>242</v>
      </c>
      <c r="G51" s="14"/>
      <c r="H51" s="12" t="s">
        <v>242</v>
      </c>
      <c r="I51" s="13"/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O52" s="5"/>
      <c r="P52" s="1"/>
      <c r="Q52" s="1"/>
      <c r="R52" s="1"/>
    </row>
  </sheetData>
  <mergeCells count="2">
    <mergeCell ref="A1:J1"/>
    <mergeCell ref="A2:J2"/>
  </mergeCells>
  <conditionalFormatting sqref="B1:B2">
    <cfRule type="cellIs" dxfId="20" priority="4" operator="equal">
      <formula>"Sat"</formula>
    </cfRule>
  </conditionalFormatting>
  <conditionalFormatting sqref="B4:B52">
    <cfRule type="containsText" dxfId="19" priority="1" operator="containsText" text="Sun">
      <formula>NOT(ISERROR(SEARCH("Sun",B4)))</formula>
    </cfRule>
  </conditionalFormatting>
  <conditionalFormatting sqref="B60:B1048576">
    <cfRule type="cellIs" dxfId="18" priority="2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5F49-FEBC-4A91-898E-6788F6D0808E}">
  <dimension ref="A1:R52"/>
  <sheetViews>
    <sheetView zoomScale="90" zoomScaleNormal="9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A53" sqref="A53:XFD165"/>
    </sheetView>
  </sheetViews>
  <sheetFormatPr defaultRowHeight="15"/>
  <cols>
    <col min="1" max="1" width="10.85546875" style="103" bestFit="1" customWidth="1"/>
    <col min="2" max="2" width="10.85546875" style="104" customWidth="1"/>
    <col min="3" max="3" width="14.5703125" style="104" bestFit="1" customWidth="1"/>
    <col min="4" max="4" width="11.7109375" style="101" bestFit="1" customWidth="1"/>
    <col min="5" max="5" width="12.42578125" style="101" bestFit="1" customWidth="1"/>
    <col min="6" max="6" width="15.140625" style="101" bestFit="1" customWidth="1"/>
    <col min="7" max="7" width="11.85546875" style="101" bestFit="1" customWidth="1"/>
    <col min="8" max="8" width="15.140625" style="101" bestFit="1" customWidth="1"/>
    <col min="9" max="9" width="12.42578125" style="101" bestFit="1" customWidth="1"/>
    <col min="10" max="10" width="11.85546875" style="101" bestFit="1" customWidth="1"/>
    <col min="11" max="11" width="24.42578125" style="5" customWidth="1"/>
    <col min="12" max="12" width="13.42578125" style="3" bestFit="1" customWidth="1"/>
    <col min="13" max="13" width="9.42578125" style="3" bestFit="1" customWidth="1"/>
    <col min="14" max="14" width="53.140625" style="5" bestFit="1" customWidth="1"/>
    <col min="15" max="15" width="7" style="1" bestFit="1" customWidth="1"/>
    <col min="16" max="16" width="9.140625" style="5" bestFit="1" customWidth="1"/>
    <col min="17" max="17" width="5.5703125" style="5" bestFit="1" customWidth="1"/>
    <col min="18" max="18" width="30.42578125" style="5" bestFit="1" customWidth="1"/>
    <col min="19" max="16384" width="9.140625" style="5"/>
  </cols>
  <sheetData>
    <row r="1" spans="1:18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  <c r="K1" s="2"/>
    </row>
    <row r="2" spans="1:18" ht="18.75">
      <c r="A2" s="277" t="s">
        <v>287</v>
      </c>
      <c r="B2" s="277"/>
      <c r="C2" s="277"/>
      <c r="D2" s="277"/>
      <c r="E2" s="277"/>
      <c r="F2" s="277"/>
      <c r="G2" s="277"/>
      <c r="H2" s="277"/>
      <c r="I2" s="277"/>
      <c r="J2" s="277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100" t="s">
        <v>18</v>
      </c>
      <c r="N3" s="49" t="s">
        <v>1</v>
      </c>
      <c r="O3" s="49" t="s">
        <v>2</v>
      </c>
      <c r="P3" s="49" t="s">
        <v>3</v>
      </c>
      <c r="Q3" s="49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3"/>
      <c r="E4" s="139"/>
      <c r="F4" s="12" t="s">
        <v>244</v>
      </c>
      <c r="G4" s="11"/>
      <c r="H4" s="135" t="s">
        <v>245</v>
      </c>
      <c r="I4" s="13" t="s">
        <v>243</v>
      </c>
      <c r="J4" s="126"/>
      <c r="K4" s="110"/>
      <c r="L4" s="121" t="s">
        <v>154</v>
      </c>
      <c r="M4" s="105" t="s">
        <v>194</v>
      </c>
      <c r="N4" s="120" t="s">
        <v>153</v>
      </c>
      <c r="O4" s="121">
        <v>4</v>
      </c>
      <c r="P4" s="7">
        <f>Q4/1.25</f>
        <v>48</v>
      </c>
      <c r="Q4" s="95">
        <f>O4*15</f>
        <v>60</v>
      </c>
      <c r="R4" s="136" t="s">
        <v>155</v>
      </c>
    </row>
    <row r="5" spans="1:18">
      <c r="A5" s="113">
        <v>46231</v>
      </c>
      <c r="B5" s="13" t="s">
        <v>68</v>
      </c>
      <c r="C5" s="13">
        <f>C4+1</f>
        <v>2</v>
      </c>
      <c r="D5" s="12" t="s">
        <v>244</v>
      </c>
      <c r="E5" s="13" t="s">
        <v>196</v>
      </c>
      <c r="F5" s="139"/>
      <c r="G5" s="11"/>
      <c r="H5" s="16" t="s">
        <v>194</v>
      </c>
      <c r="I5" s="171" t="s">
        <v>243</v>
      </c>
      <c r="J5" s="12"/>
      <c r="K5" s="110"/>
      <c r="L5" s="121" t="s">
        <v>124</v>
      </c>
      <c r="M5" s="105" t="s">
        <v>195</v>
      </c>
      <c r="N5" s="120" t="s">
        <v>123</v>
      </c>
      <c r="O5" s="121">
        <v>3</v>
      </c>
      <c r="P5" s="7">
        <f t="shared" ref="P5:P17" si="0">Q5/1.25</f>
        <v>36</v>
      </c>
      <c r="Q5" s="95">
        <f t="shared" ref="Q5:Q17" si="1">O5*15</f>
        <v>45</v>
      </c>
      <c r="R5" s="275"/>
    </row>
    <row r="6" spans="1:18" ht="30">
      <c r="A6" s="113">
        <v>46232</v>
      </c>
      <c r="B6" s="13" t="s">
        <v>69</v>
      </c>
      <c r="C6" s="13">
        <f t="shared" ref="C6:C9" si="2">C5+1</f>
        <v>3</v>
      </c>
      <c r="D6" s="125"/>
      <c r="E6" s="16" t="s">
        <v>194</v>
      </c>
      <c r="F6" s="12" t="s">
        <v>244</v>
      </c>
      <c r="G6" s="11"/>
      <c r="H6" s="125"/>
      <c r="I6" s="172" t="s">
        <v>245</v>
      </c>
      <c r="J6" s="13" t="s">
        <v>195</v>
      </c>
      <c r="K6" s="110"/>
      <c r="L6" s="121" t="s">
        <v>140</v>
      </c>
      <c r="M6" s="105" t="s">
        <v>196</v>
      </c>
      <c r="N6" s="120" t="s">
        <v>139</v>
      </c>
      <c r="O6" s="121">
        <v>4</v>
      </c>
      <c r="P6" s="7">
        <f t="shared" si="0"/>
        <v>48</v>
      </c>
      <c r="Q6" s="95">
        <f t="shared" si="1"/>
        <v>60</v>
      </c>
      <c r="R6" s="237" t="s">
        <v>277</v>
      </c>
    </row>
    <row r="7" spans="1:18">
      <c r="A7" s="113">
        <v>46233</v>
      </c>
      <c r="B7" s="13" t="s">
        <v>70</v>
      </c>
      <c r="C7" s="13">
        <f t="shared" si="2"/>
        <v>4</v>
      </c>
      <c r="D7" s="13" t="s">
        <v>195</v>
      </c>
      <c r="E7" s="140"/>
      <c r="F7" s="69" t="s">
        <v>194</v>
      </c>
      <c r="G7" s="11"/>
      <c r="H7" s="13" t="s">
        <v>243</v>
      </c>
      <c r="I7" s="141"/>
      <c r="J7" s="12"/>
      <c r="K7" s="5" t="s">
        <v>255</v>
      </c>
      <c r="L7" s="121" t="s">
        <v>138</v>
      </c>
      <c r="M7" s="105" t="s">
        <v>197</v>
      </c>
      <c r="N7" s="120" t="s">
        <v>137</v>
      </c>
      <c r="O7" s="121">
        <v>2</v>
      </c>
      <c r="P7" s="7">
        <f t="shared" si="0"/>
        <v>24</v>
      </c>
      <c r="Q7" s="95">
        <f t="shared" si="1"/>
        <v>30</v>
      </c>
      <c r="R7" s="136" t="s">
        <v>113</v>
      </c>
    </row>
    <row r="8" spans="1:18" ht="30">
      <c r="A8" s="113">
        <v>46234</v>
      </c>
      <c r="B8" s="13" t="s">
        <v>71</v>
      </c>
      <c r="C8" s="13">
        <f t="shared" si="2"/>
        <v>5</v>
      </c>
      <c r="D8" s="13" t="s">
        <v>198</v>
      </c>
      <c r="E8" s="141"/>
      <c r="F8" s="13" t="s">
        <v>265</v>
      </c>
      <c r="G8" s="11"/>
      <c r="H8" s="13" t="s">
        <v>195</v>
      </c>
      <c r="I8" s="172" t="s">
        <v>245</v>
      </c>
      <c r="J8" s="12"/>
      <c r="L8" s="121" t="s">
        <v>149</v>
      </c>
      <c r="M8" s="105" t="s">
        <v>198</v>
      </c>
      <c r="N8" s="120" t="s">
        <v>148</v>
      </c>
      <c r="O8" s="121">
        <v>2</v>
      </c>
      <c r="P8" s="7">
        <f t="shared" si="0"/>
        <v>24</v>
      </c>
      <c r="Q8" s="95">
        <f t="shared" si="1"/>
        <v>30</v>
      </c>
      <c r="R8" s="136" t="s">
        <v>105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3" t="s">
        <v>198</v>
      </c>
      <c r="F9" s="13" t="s">
        <v>242</v>
      </c>
      <c r="G9" s="14"/>
      <c r="H9" s="13" t="s">
        <v>242</v>
      </c>
      <c r="J9" s="13"/>
      <c r="L9" s="130" t="s">
        <v>117</v>
      </c>
      <c r="M9" s="131" t="s">
        <v>206</v>
      </c>
      <c r="N9" s="132" t="s">
        <v>116</v>
      </c>
      <c r="O9" s="130">
        <v>4</v>
      </c>
      <c r="P9" s="133">
        <f t="shared" si="0"/>
        <v>48</v>
      </c>
      <c r="Q9" s="134">
        <f t="shared" si="1"/>
        <v>60</v>
      </c>
      <c r="R9" s="137" t="s">
        <v>76</v>
      </c>
    </row>
    <row r="10" spans="1:18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216"/>
      <c r="J10" s="175"/>
      <c r="L10" s="130" t="s">
        <v>119</v>
      </c>
      <c r="M10" s="131" t="s">
        <v>199</v>
      </c>
      <c r="N10" s="132" t="s">
        <v>118</v>
      </c>
      <c r="O10" s="130">
        <v>4</v>
      </c>
      <c r="P10" s="133">
        <f t="shared" si="0"/>
        <v>48</v>
      </c>
      <c r="Q10" s="134">
        <f t="shared" si="1"/>
        <v>60</v>
      </c>
      <c r="R10" s="137" t="s">
        <v>120</v>
      </c>
    </row>
    <row r="11" spans="1:18">
      <c r="A11" s="113">
        <v>46237</v>
      </c>
      <c r="B11" s="13" t="s">
        <v>67</v>
      </c>
      <c r="C11" s="171">
        <f>C9+1</f>
        <v>7</v>
      </c>
      <c r="D11" s="13"/>
      <c r="E11" s="139"/>
      <c r="F11" s="12" t="s">
        <v>263</v>
      </c>
      <c r="G11" s="11"/>
      <c r="H11" s="135" t="s">
        <v>245</v>
      </c>
      <c r="I11" s="13" t="s">
        <v>243</v>
      </c>
      <c r="J11" s="126"/>
      <c r="L11" s="130" t="s">
        <v>122</v>
      </c>
      <c r="M11" s="131" t="s">
        <v>157</v>
      </c>
      <c r="N11" s="132" t="s">
        <v>121</v>
      </c>
      <c r="O11" s="130">
        <v>4</v>
      </c>
      <c r="P11" s="133">
        <f t="shared" si="0"/>
        <v>48</v>
      </c>
      <c r="Q11" s="134">
        <f t="shared" si="1"/>
        <v>60</v>
      </c>
      <c r="R11" s="137" t="s">
        <v>233</v>
      </c>
    </row>
    <row r="12" spans="1:18">
      <c r="A12" s="113">
        <v>46238</v>
      </c>
      <c r="B12" s="13" t="s">
        <v>68</v>
      </c>
      <c r="C12" s="171">
        <f>C11+1</f>
        <v>8</v>
      </c>
      <c r="D12" s="73" t="s">
        <v>205</v>
      </c>
      <c r="E12" s="13" t="s">
        <v>196</v>
      </c>
      <c r="F12" s="139"/>
      <c r="G12" s="11"/>
      <c r="H12" s="16" t="s">
        <v>194</v>
      </c>
      <c r="I12" s="13" t="s">
        <v>243</v>
      </c>
      <c r="J12" s="12"/>
      <c r="L12" s="130" t="s">
        <v>126</v>
      </c>
      <c r="M12" s="131" t="s">
        <v>200</v>
      </c>
      <c r="N12" s="132" t="s">
        <v>125</v>
      </c>
      <c r="O12" s="130">
        <v>4</v>
      </c>
      <c r="P12" s="133">
        <f t="shared" si="0"/>
        <v>48</v>
      </c>
      <c r="Q12" s="133">
        <f t="shared" si="1"/>
        <v>60</v>
      </c>
      <c r="R12" s="137" t="s">
        <v>232</v>
      </c>
    </row>
    <row r="13" spans="1:18" ht="30">
      <c r="A13" s="113">
        <v>46239</v>
      </c>
      <c r="B13" s="13" t="s">
        <v>69</v>
      </c>
      <c r="C13" s="171">
        <f t="shared" ref="C13:C16" si="3">C12+1</f>
        <v>9</v>
      </c>
      <c r="D13" s="125"/>
      <c r="E13" s="16" t="s">
        <v>194</v>
      </c>
      <c r="F13" s="73" t="s">
        <v>205</v>
      </c>
      <c r="G13" s="11"/>
      <c r="H13" s="125"/>
      <c r="I13" s="135" t="s">
        <v>245</v>
      </c>
      <c r="J13" s="13" t="s">
        <v>195</v>
      </c>
      <c r="L13" s="130" t="s">
        <v>128</v>
      </c>
      <c r="M13" s="131" t="s">
        <v>201</v>
      </c>
      <c r="N13" s="132" t="s">
        <v>127</v>
      </c>
      <c r="O13" s="130">
        <v>4</v>
      </c>
      <c r="P13" s="133">
        <f t="shared" si="0"/>
        <v>48</v>
      </c>
      <c r="Q13" s="133">
        <f t="shared" si="1"/>
        <v>60</v>
      </c>
      <c r="R13" s="137" t="s">
        <v>281</v>
      </c>
    </row>
    <row r="14" spans="1:18">
      <c r="A14" s="113">
        <v>46240</v>
      </c>
      <c r="B14" s="13" t="s">
        <v>70</v>
      </c>
      <c r="C14" s="171">
        <f t="shared" si="3"/>
        <v>10</v>
      </c>
      <c r="D14" s="13" t="s">
        <v>195</v>
      </c>
      <c r="E14" s="140"/>
      <c r="F14" s="69" t="s">
        <v>194</v>
      </c>
      <c r="G14" s="11"/>
      <c r="H14" s="13" t="s">
        <v>273</v>
      </c>
      <c r="I14" s="140"/>
      <c r="J14" s="12"/>
      <c r="L14" s="130" t="s">
        <v>142</v>
      </c>
      <c r="M14" s="131" t="s">
        <v>207</v>
      </c>
      <c r="N14" s="132" t="s">
        <v>141</v>
      </c>
      <c r="O14" s="130">
        <v>4</v>
      </c>
      <c r="P14" s="133">
        <f t="shared" si="0"/>
        <v>48</v>
      </c>
      <c r="Q14" s="133">
        <f t="shared" si="1"/>
        <v>60</v>
      </c>
      <c r="R14" s="137" t="s">
        <v>240</v>
      </c>
    </row>
    <row r="15" spans="1:18" ht="30">
      <c r="A15" s="113">
        <v>46241</v>
      </c>
      <c r="B15" s="13" t="s">
        <v>71</v>
      </c>
      <c r="C15" s="171">
        <f t="shared" si="3"/>
        <v>11</v>
      </c>
      <c r="D15" s="13" t="s">
        <v>198</v>
      </c>
      <c r="E15" s="140"/>
      <c r="F15" s="12" t="s">
        <v>272</v>
      </c>
      <c r="G15" s="11"/>
      <c r="H15" s="13" t="s">
        <v>195</v>
      </c>
      <c r="I15" s="135" t="s">
        <v>245</v>
      </c>
      <c r="J15" s="12"/>
      <c r="L15" s="130" t="s">
        <v>144</v>
      </c>
      <c r="M15" s="131" t="s">
        <v>208</v>
      </c>
      <c r="N15" s="132" t="s">
        <v>143</v>
      </c>
      <c r="O15" s="130">
        <v>4</v>
      </c>
      <c r="P15" s="133">
        <f t="shared" si="0"/>
        <v>48</v>
      </c>
      <c r="Q15" s="133">
        <f t="shared" si="1"/>
        <v>60</v>
      </c>
      <c r="R15" s="137" t="s">
        <v>79</v>
      </c>
    </row>
    <row r="16" spans="1:18">
      <c r="A16" s="113">
        <v>46242</v>
      </c>
      <c r="B16" s="13" t="s">
        <v>72</v>
      </c>
      <c r="C16" s="171">
        <f t="shared" si="3"/>
        <v>12</v>
      </c>
      <c r="D16" s="10"/>
      <c r="E16" s="13" t="s">
        <v>198</v>
      </c>
      <c r="F16" s="13" t="s">
        <v>242</v>
      </c>
      <c r="G16" s="14"/>
      <c r="H16" s="13" t="s">
        <v>242</v>
      </c>
      <c r="I16" s="12"/>
      <c r="J16" s="13"/>
      <c r="L16" s="130" t="s">
        <v>146</v>
      </c>
      <c r="M16" s="131" t="s">
        <v>209</v>
      </c>
      <c r="N16" s="132" t="s">
        <v>145</v>
      </c>
      <c r="O16" s="130">
        <v>4</v>
      </c>
      <c r="P16" s="133">
        <f t="shared" si="0"/>
        <v>48</v>
      </c>
      <c r="Q16" s="133">
        <f t="shared" si="1"/>
        <v>60</v>
      </c>
      <c r="R16" s="137" t="s">
        <v>147</v>
      </c>
    </row>
    <row r="17" spans="1:18">
      <c r="A17" s="113">
        <v>46243</v>
      </c>
      <c r="B17" s="13" t="s">
        <v>73</v>
      </c>
      <c r="C17" s="171"/>
      <c r="D17" s="13"/>
      <c r="E17" s="12"/>
      <c r="F17" s="13"/>
      <c r="G17" s="15"/>
      <c r="H17" s="109"/>
      <c r="I17" s="10"/>
      <c r="J17" s="13"/>
      <c r="L17" s="130" t="s">
        <v>152</v>
      </c>
      <c r="M17" s="131" t="s">
        <v>202</v>
      </c>
      <c r="N17" s="132" t="s">
        <v>151</v>
      </c>
      <c r="O17" s="130">
        <v>4</v>
      </c>
      <c r="P17" s="133">
        <f t="shared" si="0"/>
        <v>48</v>
      </c>
      <c r="Q17" s="133">
        <f t="shared" si="1"/>
        <v>60</v>
      </c>
      <c r="R17" s="137" t="s">
        <v>241</v>
      </c>
    </row>
    <row r="18" spans="1:18">
      <c r="A18" s="113">
        <v>46244</v>
      </c>
      <c r="B18" s="13" t="s">
        <v>67</v>
      </c>
      <c r="C18" s="171">
        <f>C16+1</f>
        <v>13</v>
      </c>
      <c r="D18" s="13"/>
      <c r="F18" s="12" t="s">
        <v>263</v>
      </c>
      <c r="G18" s="11"/>
      <c r="H18" s="135" t="s">
        <v>245</v>
      </c>
      <c r="I18" s="13" t="s">
        <v>243</v>
      </c>
      <c r="J18" s="126"/>
      <c r="L18" s="130" t="s">
        <v>130</v>
      </c>
      <c r="M18" s="131" t="s">
        <v>203</v>
      </c>
      <c r="N18" s="132" t="s">
        <v>129</v>
      </c>
      <c r="O18" s="130">
        <v>4</v>
      </c>
      <c r="P18" s="133">
        <f>Q18/1.25</f>
        <v>48</v>
      </c>
      <c r="Q18" s="133">
        <f>O18*15</f>
        <v>60</v>
      </c>
      <c r="R18" s="137" t="s">
        <v>131</v>
      </c>
    </row>
    <row r="19" spans="1:18">
      <c r="A19" s="113">
        <v>46245</v>
      </c>
      <c r="B19" s="13" t="s">
        <v>68</v>
      </c>
      <c r="C19" s="171">
        <f>C18+1</f>
        <v>14</v>
      </c>
      <c r="D19" s="12" t="s">
        <v>263</v>
      </c>
      <c r="E19" s="233" t="s">
        <v>196</v>
      </c>
      <c r="F19" s="139"/>
      <c r="G19" s="11"/>
      <c r="H19" s="16" t="s">
        <v>194</v>
      </c>
      <c r="I19" s="68" t="s">
        <v>292</v>
      </c>
      <c r="J19" s="12"/>
      <c r="L19" s="130" t="s">
        <v>133</v>
      </c>
      <c r="M19" s="131" t="s">
        <v>204</v>
      </c>
      <c r="N19" s="132" t="s">
        <v>132</v>
      </c>
      <c r="O19" s="130">
        <v>4</v>
      </c>
      <c r="P19" s="133">
        <f>Q19/1.25</f>
        <v>48</v>
      </c>
      <c r="Q19" s="133">
        <f>O19*15</f>
        <v>60</v>
      </c>
      <c r="R19" s="137" t="s">
        <v>134</v>
      </c>
    </row>
    <row r="20" spans="1:18" ht="30">
      <c r="A20" s="113">
        <v>46246</v>
      </c>
      <c r="B20" s="13" t="s">
        <v>69</v>
      </c>
      <c r="C20" s="171">
        <f t="shared" ref="C20:C22" si="4">C19+1</f>
        <v>15</v>
      </c>
      <c r="D20" s="125"/>
      <c r="E20" s="16" t="s">
        <v>194</v>
      </c>
      <c r="F20" s="12" t="s">
        <v>263</v>
      </c>
      <c r="G20" s="11"/>
      <c r="H20" s="12"/>
      <c r="I20" s="135" t="s">
        <v>245</v>
      </c>
      <c r="J20" s="13" t="s">
        <v>195</v>
      </c>
      <c r="L20" s="130" t="s">
        <v>136</v>
      </c>
      <c r="M20" s="131" t="s">
        <v>205</v>
      </c>
      <c r="N20" s="132" t="s">
        <v>135</v>
      </c>
      <c r="O20" s="130">
        <v>4</v>
      </c>
      <c r="P20" s="133">
        <f>Q20/1.25</f>
        <v>48</v>
      </c>
      <c r="Q20" s="133">
        <f>O20*15</f>
        <v>60</v>
      </c>
      <c r="R20" s="137" t="s">
        <v>96</v>
      </c>
    </row>
    <row r="21" spans="1:18">
      <c r="A21" s="113">
        <v>46247</v>
      </c>
      <c r="B21" s="13" t="s">
        <v>70</v>
      </c>
      <c r="C21" s="171">
        <f t="shared" si="4"/>
        <v>16</v>
      </c>
      <c r="D21" s="13" t="s">
        <v>195</v>
      </c>
      <c r="E21" s="12"/>
      <c r="F21" s="69" t="s">
        <v>194</v>
      </c>
      <c r="G21" s="11"/>
      <c r="H21" s="13" t="s">
        <v>273</v>
      </c>
      <c r="I21" s="233" t="s">
        <v>196</v>
      </c>
      <c r="J21" s="12"/>
      <c r="K21" s="240" t="s">
        <v>294</v>
      </c>
      <c r="L21" s="4"/>
      <c r="M21" s="4"/>
      <c r="N21" s="54"/>
      <c r="O21" s="4">
        <f>SUM(O4:O20)</f>
        <v>63</v>
      </c>
      <c r="P21" s="4">
        <f>SUM(P4:P20)</f>
        <v>756</v>
      </c>
      <c r="Q21" s="4">
        <f>SUM(Q4:Q20)</f>
        <v>945</v>
      </c>
      <c r="R21" s="99"/>
    </row>
    <row r="22" spans="1:18">
      <c r="A22" s="113">
        <v>46248</v>
      </c>
      <c r="B22" s="13" t="s">
        <v>71</v>
      </c>
      <c r="C22" s="171">
        <f t="shared" si="4"/>
        <v>17</v>
      </c>
      <c r="D22" s="13" t="s">
        <v>157</v>
      </c>
      <c r="E22" s="13" t="s">
        <v>157</v>
      </c>
      <c r="F22" s="14" t="s">
        <v>308</v>
      </c>
      <c r="G22" s="11"/>
      <c r="H22" s="13" t="s">
        <v>195</v>
      </c>
      <c r="I22" s="174" t="s">
        <v>293</v>
      </c>
      <c r="J22" s="12"/>
      <c r="K22" s="5" t="s">
        <v>309</v>
      </c>
    </row>
    <row r="23" spans="1:18">
      <c r="A23" s="113">
        <v>46249</v>
      </c>
      <c r="B23" s="13" t="s">
        <v>72</v>
      </c>
      <c r="C23" s="227" t="s">
        <v>23</v>
      </c>
      <c r="D23" s="10"/>
      <c r="E23" s="13"/>
      <c r="F23" s="13"/>
      <c r="G23" s="14"/>
      <c r="H23" s="13"/>
      <c r="I23" s="12"/>
      <c r="J23" s="13"/>
    </row>
    <row r="24" spans="1:18" hidden="1">
      <c r="A24" s="113">
        <v>46250</v>
      </c>
      <c r="B24" s="13" t="s">
        <v>73</v>
      </c>
      <c r="C24" s="227"/>
      <c r="D24" s="175"/>
      <c r="E24" s="176"/>
      <c r="F24" s="175"/>
      <c r="G24" s="177"/>
      <c r="H24" s="178"/>
      <c r="I24" s="179"/>
      <c r="J24" s="175"/>
    </row>
    <row r="25" spans="1:18" hidden="1">
      <c r="A25" s="113">
        <v>46251</v>
      </c>
      <c r="B25" s="13" t="s">
        <v>67</v>
      </c>
      <c r="C25" s="227">
        <f>C22+1</f>
        <v>18</v>
      </c>
      <c r="D25" s="13"/>
      <c r="E25" s="233" t="s">
        <v>196</v>
      </c>
      <c r="F25" s="12" t="s">
        <v>263</v>
      </c>
      <c r="G25" s="11"/>
      <c r="H25" s="135" t="s">
        <v>201</v>
      </c>
      <c r="I25" s="13" t="s">
        <v>243</v>
      </c>
      <c r="J25" s="126"/>
      <c r="K25" s="5" t="s">
        <v>315</v>
      </c>
      <c r="N25" s="102"/>
      <c r="O25" s="5"/>
    </row>
    <row r="26" spans="1:18" hidden="1">
      <c r="A26" s="113">
        <v>46252</v>
      </c>
      <c r="B26" s="13" t="s">
        <v>68</v>
      </c>
      <c r="C26" s="227">
        <f>C25+1</f>
        <v>19</v>
      </c>
      <c r="D26" s="12" t="s">
        <v>263</v>
      </c>
      <c r="E26" s="233" t="s">
        <v>196</v>
      </c>
      <c r="F26" s="139"/>
      <c r="G26" s="11"/>
      <c r="H26" s="16" t="s">
        <v>194</v>
      </c>
      <c r="I26" s="68" t="s">
        <v>292</v>
      </c>
      <c r="J26" s="12"/>
      <c r="O26" s="5"/>
      <c r="P26" s="1"/>
      <c r="Q26" s="1"/>
    </row>
    <row r="27" spans="1:18" ht="30" hidden="1">
      <c r="A27" s="113">
        <v>46253</v>
      </c>
      <c r="B27" s="13" t="s">
        <v>69</v>
      </c>
      <c r="C27" s="227">
        <f t="shared" ref="C27:C30" si="5">C26+1</f>
        <v>20</v>
      </c>
      <c r="D27" s="125"/>
      <c r="E27" s="16" t="s">
        <v>194</v>
      </c>
      <c r="F27" s="12" t="s">
        <v>263</v>
      </c>
      <c r="G27" s="11"/>
      <c r="H27" s="12"/>
      <c r="I27" s="135" t="s">
        <v>245</v>
      </c>
      <c r="J27" s="13" t="s">
        <v>195</v>
      </c>
      <c r="N27" s="28"/>
      <c r="O27" s="5"/>
    </row>
    <row r="28" spans="1:18" hidden="1">
      <c r="A28" s="113">
        <v>46254</v>
      </c>
      <c r="B28" s="13" t="s">
        <v>70</v>
      </c>
      <c r="C28" s="227">
        <f t="shared" si="5"/>
        <v>21</v>
      </c>
      <c r="D28" s="13" t="s">
        <v>195</v>
      </c>
      <c r="E28" s="12"/>
      <c r="F28" s="69" t="s">
        <v>194</v>
      </c>
      <c r="G28" s="11"/>
      <c r="H28" s="13" t="s">
        <v>273</v>
      </c>
      <c r="I28" s="233" t="s">
        <v>196</v>
      </c>
      <c r="J28" s="12"/>
      <c r="K28" s="240" t="s">
        <v>294</v>
      </c>
      <c r="N28" s="28"/>
    </row>
    <row r="29" spans="1:18" hidden="1">
      <c r="A29" s="113">
        <v>46255</v>
      </c>
      <c r="B29" s="13" t="s">
        <v>71</v>
      </c>
      <c r="C29" s="227">
        <f t="shared" si="5"/>
        <v>22</v>
      </c>
      <c r="D29" s="13" t="s">
        <v>198</v>
      </c>
      <c r="E29" s="140"/>
      <c r="F29" s="12" t="s">
        <v>272</v>
      </c>
      <c r="G29" s="11"/>
      <c r="H29" s="13" t="s">
        <v>195</v>
      </c>
      <c r="I29" s="174" t="s">
        <v>293</v>
      </c>
      <c r="J29" s="12"/>
      <c r="K29" s="5" t="s">
        <v>321</v>
      </c>
      <c r="N29" s="28"/>
    </row>
    <row r="30" spans="1:18" hidden="1">
      <c r="A30" s="113">
        <v>46256</v>
      </c>
      <c r="B30" s="13" t="s">
        <v>72</v>
      </c>
      <c r="C30" s="227">
        <f t="shared" si="5"/>
        <v>23</v>
      </c>
      <c r="D30" s="10"/>
      <c r="E30" s="13" t="s">
        <v>198</v>
      </c>
      <c r="F30" s="13" t="s">
        <v>242</v>
      </c>
      <c r="G30" s="14"/>
      <c r="H30" s="13" t="s">
        <v>242</v>
      </c>
      <c r="I30" s="13"/>
      <c r="J30" s="109"/>
      <c r="N30" s="28"/>
    </row>
    <row r="31" spans="1:18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3"/>
      <c r="J31" s="13"/>
      <c r="N31" s="28"/>
    </row>
    <row r="32" spans="1:18" hidden="1">
      <c r="A32" s="113">
        <v>46258</v>
      </c>
      <c r="B32" s="13" t="s">
        <v>67</v>
      </c>
      <c r="C32" s="227">
        <f>C29+1</f>
        <v>23</v>
      </c>
      <c r="D32" s="13"/>
      <c r="E32" s="233" t="s">
        <v>196</v>
      </c>
      <c r="F32" s="12" t="s">
        <v>263</v>
      </c>
      <c r="G32" s="11"/>
      <c r="H32" s="135" t="s">
        <v>201</v>
      </c>
      <c r="I32" s="13" t="s">
        <v>243</v>
      </c>
      <c r="J32" s="126"/>
      <c r="K32" s="5" t="s">
        <v>315</v>
      </c>
      <c r="N32" s="29"/>
    </row>
    <row r="33" spans="1:18" hidden="1">
      <c r="A33" s="113">
        <v>46259</v>
      </c>
      <c r="B33" s="13" t="s">
        <v>68</v>
      </c>
      <c r="C33" s="227">
        <f>C32+1</f>
        <v>24</v>
      </c>
      <c r="D33" s="12" t="s">
        <v>263</v>
      </c>
      <c r="E33" s="233" t="s">
        <v>196</v>
      </c>
      <c r="F33" s="139"/>
      <c r="G33" s="11"/>
      <c r="H33" s="16" t="s">
        <v>194</v>
      </c>
      <c r="I33" s="68" t="s">
        <v>292</v>
      </c>
      <c r="J33" s="12"/>
      <c r="N33" s="28"/>
    </row>
    <row r="34" spans="1:18" hidden="1">
      <c r="A34" s="113">
        <v>46260</v>
      </c>
      <c r="B34" s="13" t="s">
        <v>69</v>
      </c>
      <c r="C34" s="227">
        <f t="shared" ref="C34:C35" si="6">C33+1</f>
        <v>25</v>
      </c>
      <c r="D34" s="125"/>
      <c r="E34" s="16" t="s">
        <v>194</v>
      </c>
      <c r="F34" s="12" t="s">
        <v>263</v>
      </c>
      <c r="G34" s="11"/>
      <c r="H34" s="12"/>
      <c r="I34" s="135" t="s">
        <v>201</v>
      </c>
      <c r="J34" s="13" t="s">
        <v>195</v>
      </c>
      <c r="N34" s="28"/>
      <c r="O34" s="5"/>
      <c r="R34" s="1"/>
    </row>
    <row r="35" spans="1:18" hidden="1">
      <c r="A35" s="113">
        <v>46261</v>
      </c>
      <c r="B35" s="13" t="s">
        <v>70</v>
      </c>
      <c r="C35" s="227">
        <f t="shared" si="6"/>
        <v>26</v>
      </c>
      <c r="D35" s="13" t="s">
        <v>195</v>
      </c>
      <c r="E35" s="12"/>
      <c r="F35" s="69" t="s">
        <v>194</v>
      </c>
      <c r="G35" s="11"/>
      <c r="H35" s="13" t="s">
        <v>273</v>
      </c>
      <c r="I35" s="233" t="s">
        <v>196</v>
      </c>
      <c r="J35" s="12"/>
      <c r="K35" s="240" t="s">
        <v>294</v>
      </c>
      <c r="N35" s="28"/>
      <c r="O35" s="5"/>
      <c r="Q35" s="1"/>
    </row>
    <row r="36" spans="1:18" hidden="1">
      <c r="A36" s="113">
        <v>46262</v>
      </c>
      <c r="B36" s="13" t="s">
        <v>71</v>
      </c>
      <c r="C36" s="227" t="s">
        <v>22</v>
      </c>
      <c r="D36" s="13"/>
      <c r="E36" s="140"/>
      <c r="F36" s="12"/>
      <c r="G36" s="11"/>
      <c r="H36" s="13"/>
      <c r="I36" s="174"/>
      <c r="J36" s="12"/>
      <c r="N36" s="28"/>
      <c r="O36" s="5"/>
      <c r="Q36" s="1"/>
    </row>
    <row r="37" spans="1:18" hidden="1">
      <c r="A37" s="113">
        <v>46263</v>
      </c>
      <c r="B37" s="13" t="s">
        <v>72</v>
      </c>
      <c r="C37" s="228">
        <f>C35+1</f>
        <v>27</v>
      </c>
      <c r="D37" s="10"/>
      <c r="E37" s="13" t="s">
        <v>198</v>
      </c>
      <c r="F37" s="13" t="s">
        <v>242</v>
      </c>
      <c r="G37" s="14"/>
      <c r="H37" s="13" t="s">
        <v>242</v>
      </c>
      <c r="I37" s="13"/>
      <c r="J37" s="109"/>
      <c r="N37" s="28"/>
      <c r="O37" s="5"/>
      <c r="Q37" s="1"/>
    </row>
    <row r="38" spans="1:18">
      <c r="A38" s="113">
        <v>46264</v>
      </c>
      <c r="B38" s="13" t="s">
        <v>73</v>
      </c>
      <c r="C38" s="229"/>
      <c r="D38" s="13"/>
      <c r="E38" s="13"/>
      <c r="F38" s="13"/>
      <c r="G38" s="15"/>
      <c r="H38" s="109"/>
      <c r="I38" s="10"/>
      <c r="J38" s="13"/>
      <c r="N38" s="28"/>
      <c r="O38" s="5"/>
      <c r="Q38" s="1"/>
    </row>
    <row r="39" spans="1:18">
      <c r="A39" s="113">
        <v>46265</v>
      </c>
      <c r="B39" s="13" t="s">
        <v>67</v>
      </c>
      <c r="C39" s="227">
        <f>C37+1</f>
        <v>28</v>
      </c>
      <c r="D39" s="13"/>
      <c r="E39" s="233" t="s">
        <v>196</v>
      </c>
      <c r="F39" s="18"/>
      <c r="G39" s="11"/>
      <c r="H39" s="135" t="s">
        <v>201</v>
      </c>
      <c r="I39" s="13" t="s">
        <v>243</v>
      </c>
      <c r="J39" s="126"/>
      <c r="K39" s="5" t="s">
        <v>315</v>
      </c>
      <c r="N39" s="28"/>
      <c r="O39" s="5"/>
      <c r="Q39" s="1"/>
    </row>
    <row r="40" spans="1:18">
      <c r="A40" s="113">
        <v>46266</v>
      </c>
      <c r="B40" s="13" t="s">
        <v>68</v>
      </c>
      <c r="C40" s="227">
        <f>C39+1</f>
        <v>29</v>
      </c>
      <c r="D40" s="12" t="s">
        <v>263</v>
      </c>
      <c r="E40" s="233" t="s">
        <v>196</v>
      </c>
      <c r="F40" s="139"/>
      <c r="G40" s="11"/>
      <c r="H40" s="16" t="s">
        <v>194</v>
      </c>
      <c r="I40" s="68" t="s">
        <v>292</v>
      </c>
      <c r="J40" s="12"/>
      <c r="N40" s="28"/>
      <c r="O40" s="5"/>
      <c r="Q40" s="1"/>
    </row>
    <row r="41" spans="1:18">
      <c r="A41" s="113">
        <v>46267</v>
      </c>
      <c r="B41" s="13" t="s">
        <v>69</v>
      </c>
      <c r="C41" s="227">
        <f t="shared" ref="C41:C42" si="7">C40+1</f>
        <v>30</v>
      </c>
      <c r="D41" s="125"/>
      <c r="E41" s="16" t="s">
        <v>194</v>
      </c>
      <c r="F41" s="12" t="s">
        <v>263</v>
      </c>
      <c r="G41" s="11"/>
      <c r="H41" s="12"/>
      <c r="I41" s="135" t="s">
        <v>201</v>
      </c>
      <c r="J41" s="13" t="s">
        <v>195</v>
      </c>
      <c r="N41" s="28"/>
      <c r="O41" s="5"/>
      <c r="Q41" s="1"/>
    </row>
    <row r="42" spans="1:18">
      <c r="A42" s="113">
        <v>46268</v>
      </c>
      <c r="B42" s="13" t="s">
        <v>70</v>
      </c>
      <c r="C42" s="227">
        <f t="shared" si="7"/>
        <v>31</v>
      </c>
      <c r="D42" s="13" t="s">
        <v>195</v>
      </c>
      <c r="E42" s="12"/>
      <c r="F42" s="69" t="s">
        <v>194</v>
      </c>
      <c r="G42" s="11"/>
      <c r="H42" s="13" t="s">
        <v>273</v>
      </c>
      <c r="I42" s="233" t="s">
        <v>196</v>
      </c>
      <c r="J42" s="12"/>
      <c r="K42" s="240" t="s">
        <v>294</v>
      </c>
      <c r="N42" s="28"/>
      <c r="O42" s="5"/>
      <c r="P42" s="1"/>
      <c r="Q42" s="1"/>
      <c r="R42" s="28"/>
    </row>
    <row r="43" spans="1:18">
      <c r="A43" s="113">
        <v>46269</v>
      </c>
      <c r="B43" s="13" t="s">
        <v>71</v>
      </c>
      <c r="C43" s="227" t="s">
        <v>81</v>
      </c>
      <c r="D43" s="13"/>
      <c r="E43" s="140"/>
      <c r="F43" s="12"/>
      <c r="G43" s="11"/>
      <c r="H43" s="13"/>
      <c r="I43" s="174"/>
      <c r="J43" s="12"/>
      <c r="N43" s="28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228">
        <f>C42+1</f>
        <v>32</v>
      </c>
      <c r="D44" s="10"/>
      <c r="E44" s="13" t="s">
        <v>198</v>
      </c>
      <c r="F44" s="13" t="s">
        <v>242</v>
      </c>
      <c r="G44" s="14"/>
      <c r="H44" s="13" t="s">
        <v>242</v>
      </c>
      <c r="I44" s="13"/>
      <c r="J44" s="109"/>
      <c r="N44" s="28"/>
      <c r="O44" s="5"/>
      <c r="P44" s="1"/>
      <c r="Q44" s="1"/>
      <c r="R44" s="3"/>
    </row>
    <row r="45" spans="1:18">
      <c r="A45" s="113">
        <v>46271</v>
      </c>
      <c r="B45" s="13" t="s">
        <v>73</v>
      </c>
      <c r="C45" s="227"/>
      <c r="D45" s="13"/>
      <c r="E45" s="12"/>
      <c r="F45" s="13"/>
      <c r="G45" s="15"/>
      <c r="H45" s="109"/>
      <c r="I45" s="10"/>
      <c r="J45" s="13"/>
      <c r="N45" s="28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227">
        <f>C44+1</f>
        <v>33</v>
      </c>
      <c r="D46" s="13"/>
      <c r="E46" s="233" t="s">
        <v>196</v>
      </c>
      <c r="F46" s="12" t="s">
        <v>263</v>
      </c>
      <c r="G46" s="11"/>
      <c r="H46" s="135" t="s">
        <v>201</v>
      </c>
      <c r="I46" s="13" t="s">
        <v>243</v>
      </c>
      <c r="J46" s="126"/>
      <c r="K46" s="5" t="s">
        <v>315</v>
      </c>
      <c r="N46" s="28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227">
        <f>C46+1</f>
        <v>34</v>
      </c>
      <c r="D47" s="12" t="s">
        <v>263</v>
      </c>
      <c r="E47" s="233" t="s">
        <v>196</v>
      </c>
      <c r="F47" s="139"/>
      <c r="G47" s="11"/>
      <c r="H47" s="16" t="s">
        <v>194</v>
      </c>
      <c r="I47" s="68" t="s">
        <v>292</v>
      </c>
      <c r="J47" s="12"/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227">
        <f t="shared" ref="C48:C51" si="8">C47+1</f>
        <v>35</v>
      </c>
      <c r="D48" s="125"/>
      <c r="E48" s="16" t="s">
        <v>194</v>
      </c>
      <c r="F48" s="12" t="s">
        <v>263</v>
      </c>
      <c r="G48" s="11"/>
      <c r="H48" s="12"/>
      <c r="I48" s="135" t="s">
        <v>201</v>
      </c>
      <c r="J48" s="13" t="s">
        <v>195</v>
      </c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227">
        <f t="shared" si="8"/>
        <v>36</v>
      </c>
      <c r="D49" s="13" t="s">
        <v>195</v>
      </c>
      <c r="E49" s="12"/>
      <c r="F49" s="69" t="s">
        <v>194</v>
      </c>
      <c r="G49" s="11"/>
      <c r="H49" s="13" t="s">
        <v>273</v>
      </c>
      <c r="I49" s="233" t="s">
        <v>196</v>
      </c>
      <c r="J49" s="12"/>
      <c r="K49" s="240" t="s">
        <v>294</v>
      </c>
      <c r="N49" s="28"/>
      <c r="O49" s="5"/>
      <c r="P49" s="1"/>
      <c r="Q49" s="1"/>
      <c r="R49" s="1"/>
    </row>
    <row r="50" spans="1:18" ht="30">
      <c r="A50" s="113">
        <v>46276</v>
      </c>
      <c r="B50" s="13" t="s">
        <v>71</v>
      </c>
      <c r="C50" s="227">
        <f t="shared" si="8"/>
        <v>37</v>
      </c>
      <c r="D50" s="13" t="s">
        <v>198</v>
      </c>
      <c r="E50" s="140"/>
      <c r="F50" s="12" t="s">
        <v>272</v>
      </c>
      <c r="G50" s="11"/>
      <c r="H50" s="13" t="s">
        <v>157</v>
      </c>
      <c r="I50" s="174" t="s">
        <v>320</v>
      </c>
      <c r="J50" s="12" t="s">
        <v>157</v>
      </c>
      <c r="K50" s="5" t="s">
        <v>321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227">
        <f t="shared" si="8"/>
        <v>38</v>
      </c>
      <c r="D51" s="10"/>
      <c r="E51" s="13" t="s">
        <v>198</v>
      </c>
      <c r="F51" s="13" t="s">
        <v>242</v>
      </c>
      <c r="G51" s="14"/>
      <c r="H51" s="13" t="s">
        <v>242</v>
      </c>
      <c r="I51" s="13"/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81"/>
      <c r="E52" s="210"/>
      <c r="F52" s="181"/>
      <c r="G52" s="211"/>
      <c r="H52" s="183"/>
      <c r="I52" s="180"/>
      <c r="J52" s="181"/>
      <c r="L52" s="1"/>
      <c r="M52" s="1"/>
      <c r="O52" s="5"/>
      <c r="P52" s="1"/>
      <c r="Q52" s="1"/>
      <c r="R52" s="1"/>
    </row>
  </sheetData>
  <mergeCells count="2">
    <mergeCell ref="A1:J1"/>
    <mergeCell ref="A2:J2"/>
  </mergeCells>
  <conditionalFormatting sqref="B1:B2">
    <cfRule type="cellIs" dxfId="17" priority="4" operator="equal">
      <formula>"Sat"</formula>
    </cfRule>
  </conditionalFormatting>
  <conditionalFormatting sqref="B4:B52">
    <cfRule type="containsText" dxfId="16" priority="1" operator="containsText" text="Sun">
      <formula>NOT(ISERROR(SEARCH("Sun",B4)))</formula>
    </cfRule>
  </conditionalFormatting>
  <conditionalFormatting sqref="B60:B1048576">
    <cfRule type="cellIs" dxfId="15" priority="2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2B27-6279-4888-8540-AEA26BC1BA2F}">
  <dimension ref="A1:R52"/>
  <sheetViews>
    <sheetView zoomScale="90" zoomScaleNormal="9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A53" sqref="A53:XFD165"/>
    </sheetView>
  </sheetViews>
  <sheetFormatPr defaultRowHeight="15"/>
  <cols>
    <col min="1" max="1" width="10.85546875" style="103" bestFit="1" customWidth="1"/>
    <col min="2" max="2" width="10.85546875" style="104" customWidth="1"/>
    <col min="3" max="3" width="14.5703125" style="104" bestFit="1" customWidth="1"/>
    <col min="4" max="4" width="11.7109375" style="101" bestFit="1" customWidth="1"/>
    <col min="5" max="5" width="12.42578125" style="101" bestFit="1" customWidth="1"/>
    <col min="6" max="6" width="15.140625" style="101" bestFit="1" customWidth="1"/>
    <col min="7" max="7" width="11.85546875" style="101" bestFit="1" customWidth="1"/>
    <col min="8" max="8" width="15.140625" style="101" bestFit="1" customWidth="1"/>
    <col min="9" max="9" width="12.42578125" style="101" bestFit="1" customWidth="1"/>
    <col min="10" max="10" width="11.85546875" style="101" bestFit="1" customWidth="1"/>
    <col min="11" max="11" width="15" style="5" customWidth="1"/>
    <col min="12" max="12" width="13.42578125" style="3" bestFit="1" customWidth="1"/>
    <col min="13" max="13" width="9.42578125" style="3" bestFit="1" customWidth="1"/>
    <col min="14" max="14" width="53.140625" style="5" bestFit="1" customWidth="1"/>
    <col min="15" max="15" width="7" style="1" bestFit="1" customWidth="1"/>
    <col min="16" max="16" width="9.140625" style="5" bestFit="1" customWidth="1"/>
    <col min="17" max="17" width="5.5703125" style="5" bestFit="1" customWidth="1"/>
    <col min="18" max="18" width="24.5703125" style="5" customWidth="1"/>
    <col min="19" max="16384" width="9.140625" style="5"/>
  </cols>
  <sheetData>
    <row r="1" spans="1:18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  <c r="K1" s="2"/>
    </row>
    <row r="2" spans="1:18" ht="18.75">
      <c r="A2" s="277" t="s">
        <v>288</v>
      </c>
      <c r="B2" s="277"/>
      <c r="C2" s="277"/>
      <c r="D2" s="277"/>
      <c r="E2" s="277"/>
      <c r="F2" s="277"/>
      <c r="G2" s="277"/>
      <c r="H2" s="277"/>
      <c r="I2" s="277"/>
      <c r="J2" s="277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9" t="s">
        <v>17</v>
      </c>
      <c r="M3" s="100" t="s">
        <v>18</v>
      </c>
      <c r="N3" s="49" t="s">
        <v>1</v>
      </c>
      <c r="O3" s="49" t="s">
        <v>2</v>
      </c>
      <c r="P3" s="49" t="s">
        <v>3</v>
      </c>
      <c r="Q3" s="49" t="s">
        <v>6</v>
      </c>
      <c r="R3" s="49" t="s">
        <v>4</v>
      </c>
    </row>
    <row r="4" spans="1:18">
      <c r="A4" s="113">
        <v>46230</v>
      </c>
      <c r="B4" s="13" t="s">
        <v>67</v>
      </c>
      <c r="C4" s="13">
        <v>1</v>
      </c>
      <c r="D4" s="125"/>
      <c r="F4" s="12" t="s">
        <v>244</v>
      </c>
      <c r="G4" s="11"/>
      <c r="H4" s="135" t="s">
        <v>245</v>
      </c>
      <c r="I4" s="13" t="s">
        <v>243</v>
      </c>
      <c r="J4" s="13"/>
      <c r="K4" s="110"/>
      <c r="L4" s="121" t="s">
        <v>154</v>
      </c>
      <c r="M4" s="105" t="s">
        <v>194</v>
      </c>
      <c r="N4" s="120" t="s">
        <v>153</v>
      </c>
      <c r="O4" s="121">
        <v>4</v>
      </c>
      <c r="P4" s="7">
        <f>Q4/1.25</f>
        <v>48</v>
      </c>
      <c r="Q4" s="95">
        <f>O4*15</f>
        <v>60</v>
      </c>
      <c r="R4" s="136" t="s">
        <v>156</v>
      </c>
    </row>
    <row r="5" spans="1:18">
      <c r="A5" s="113">
        <v>46231</v>
      </c>
      <c r="B5" s="13" t="s">
        <v>68</v>
      </c>
      <c r="C5" s="13">
        <f>C4+1</f>
        <v>2</v>
      </c>
      <c r="D5" s="12" t="s">
        <v>244</v>
      </c>
      <c r="E5" s="140"/>
      <c r="F5" s="16" t="s">
        <v>198</v>
      </c>
      <c r="G5" s="11"/>
      <c r="H5" s="139"/>
      <c r="I5" s="13" t="s">
        <v>243</v>
      </c>
      <c r="J5" s="12"/>
      <c r="K5" s="110"/>
      <c r="L5" s="121" t="s">
        <v>124</v>
      </c>
      <c r="M5" s="105" t="s">
        <v>195</v>
      </c>
      <c r="N5" s="120" t="s">
        <v>123</v>
      </c>
      <c r="O5" s="121">
        <v>3</v>
      </c>
      <c r="P5" s="7">
        <f t="shared" ref="P5:P17" si="0">Q5/1.25</f>
        <v>36</v>
      </c>
      <c r="Q5" s="95">
        <f t="shared" ref="Q5:Q17" si="1">O5*15</f>
        <v>45</v>
      </c>
      <c r="R5" s="136" t="s">
        <v>210</v>
      </c>
    </row>
    <row r="6" spans="1:18" ht="30">
      <c r="A6" s="113">
        <v>46232</v>
      </c>
      <c r="B6" s="13" t="s">
        <v>69</v>
      </c>
      <c r="C6" s="13">
        <f t="shared" ref="C6:C9" si="2">C5+1</f>
        <v>3</v>
      </c>
      <c r="D6" s="10" t="s">
        <v>194</v>
      </c>
      <c r="E6" s="125"/>
      <c r="F6" s="12" t="s">
        <v>244</v>
      </c>
      <c r="G6" s="11"/>
      <c r="H6" s="13" t="s">
        <v>195</v>
      </c>
      <c r="I6" s="135" t="s">
        <v>245</v>
      </c>
      <c r="J6" s="125"/>
      <c r="K6" s="110"/>
      <c r="L6" s="121" t="s">
        <v>140</v>
      </c>
      <c r="M6" s="105" t="s">
        <v>196</v>
      </c>
      <c r="N6" s="120" t="s">
        <v>139</v>
      </c>
      <c r="O6" s="121">
        <v>4</v>
      </c>
      <c r="P6" s="7">
        <f t="shared" si="0"/>
        <v>48</v>
      </c>
      <c r="Q6" s="95">
        <f t="shared" si="1"/>
        <v>60</v>
      </c>
      <c r="R6" s="237" t="s">
        <v>277</v>
      </c>
    </row>
    <row r="7" spans="1:18">
      <c r="A7" s="113">
        <v>46233</v>
      </c>
      <c r="B7" s="13" t="s">
        <v>70</v>
      </c>
      <c r="C7" s="13">
        <f t="shared" si="2"/>
        <v>4</v>
      </c>
      <c r="D7" s="140" t="s">
        <v>198</v>
      </c>
      <c r="E7" s="12" t="s">
        <v>194</v>
      </c>
      <c r="F7" s="140"/>
      <c r="G7" s="11"/>
      <c r="H7" s="13" t="s">
        <v>243</v>
      </c>
      <c r="I7" s="13" t="s">
        <v>195</v>
      </c>
      <c r="J7" s="125"/>
      <c r="L7" s="121" t="s">
        <v>138</v>
      </c>
      <c r="M7" s="105" t="s">
        <v>197</v>
      </c>
      <c r="N7" s="120" t="s">
        <v>137</v>
      </c>
      <c r="O7" s="121">
        <v>2</v>
      </c>
      <c r="P7" s="7">
        <f t="shared" si="0"/>
        <v>24</v>
      </c>
      <c r="Q7" s="95">
        <f t="shared" si="1"/>
        <v>30</v>
      </c>
      <c r="R7" s="136" t="s">
        <v>114</v>
      </c>
    </row>
    <row r="8" spans="1:18" ht="30">
      <c r="A8" s="113">
        <v>46234</v>
      </c>
      <c r="B8" s="13" t="s">
        <v>71</v>
      </c>
      <c r="C8" s="13">
        <f t="shared" si="2"/>
        <v>5</v>
      </c>
      <c r="D8" s="125"/>
      <c r="E8" s="13" t="s">
        <v>194</v>
      </c>
      <c r="F8" s="13" t="s">
        <v>265</v>
      </c>
      <c r="G8" s="11"/>
      <c r="H8" s="16" t="s">
        <v>194</v>
      </c>
      <c r="I8" s="135" t="s">
        <v>245</v>
      </c>
      <c r="J8" s="12"/>
      <c r="L8" s="121" t="s">
        <v>149</v>
      </c>
      <c r="M8" s="105" t="s">
        <v>198</v>
      </c>
      <c r="N8" s="120" t="s">
        <v>148</v>
      </c>
      <c r="O8" s="121">
        <v>2</v>
      </c>
      <c r="P8" s="7">
        <f t="shared" si="0"/>
        <v>24</v>
      </c>
      <c r="Q8" s="95">
        <f t="shared" si="1"/>
        <v>30</v>
      </c>
      <c r="R8" s="136" t="s">
        <v>105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 t="s">
        <v>242</v>
      </c>
      <c r="G9" s="14"/>
      <c r="H9" s="13" t="s">
        <v>242</v>
      </c>
      <c r="I9" s="13" t="s">
        <v>195</v>
      </c>
      <c r="J9" s="109"/>
      <c r="L9" s="130" t="s">
        <v>117</v>
      </c>
      <c r="M9" s="131" t="s">
        <v>206</v>
      </c>
      <c r="N9" s="132" t="s">
        <v>116</v>
      </c>
      <c r="O9" s="130">
        <v>4</v>
      </c>
      <c r="P9" s="133">
        <f t="shared" si="0"/>
        <v>48</v>
      </c>
      <c r="Q9" s="134">
        <f t="shared" si="1"/>
        <v>60</v>
      </c>
      <c r="R9" s="137" t="s">
        <v>76</v>
      </c>
    </row>
    <row r="10" spans="1:18">
      <c r="A10" s="113">
        <v>46236</v>
      </c>
      <c r="B10" s="13" t="s">
        <v>73</v>
      </c>
      <c r="C10" s="171"/>
      <c r="D10" s="13"/>
      <c r="E10" s="12"/>
      <c r="F10" s="13"/>
      <c r="G10" s="15"/>
      <c r="H10" s="109"/>
      <c r="I10" s="10"/>
      <c r="J10" s="13"/>
      <c r="L10" s="130" t="s">
        <v>119</v>
      </c>
      <c r="M10" s="131" t="s">
        <v>199</v>
      </c>
      <c r="N10" s="132" t="s">
        <v>118</v>
      </c>
      <c r="O10" s="130">
        <v>4</v>
      </c>
      <c r="P10" s="133">
        <f t="shared" si="0"/>
        <v>48</v>
      </c>
      <c r="Q10" s="134">
        <f t="shared" si="1"/>
        <v>60</v>
      </c>
      <c r="R10" s="137" t="s">
        <v>120</v>
      </c>
    </row>
    <row r="11" spans="1:18">
      <c r="A11" s="113">
        <v>46237</v>
      </c>
      <c r="B11" s="13" t="s">
        <v>67</v>
      </c>
      <c r="C11" s="171">
        <f>C9+1</f>
        <v>7</v>
      </c>
      <c r="D11" s="125"/>
      <c r="E11" s="16" t="s">
        <v>194</v>
      </c>
      <c r="F11" s="12" t="s">
        <v>263</v>
      </c>
      <c r="G11" s="11"/>
      <c r="H11" s="135" t="s">
        <v>245</v>
      </c>
      <c r="I11" s="13" t="s">
        <v>243</v>
      </c>
      <c r="J11" s="13"/>
      <c r="L11" s="130" t="s">
        <v>122</v>
      </c>
      <c r="M11" s="131" t="s">
        <v>157</v>
      </c>
      <c r="N11" s="132" t="s">
        <v>121</v>
      </c>
      <c r="O11" s="130">
        <v>4</v>
      </c>
      <c r="P11" s="133">
        <f t="shared" si="0"/>
        <v>48</v>
      </c>
      <c r="Q11" s="134">
        <f t="shared" si="1"/>
        <v>60</v>
      </c>
      <c r="R11" s="137" t="s">
        <v>233</v>
      </c>
    </row>
    <row r="12" spans="1:18">
      <c r="A12" s="113">
        <v>46238</v>
      </c>
      <c r="B12" s="13" t="s">
        <v>68</v>
      </c>
      <c r="C12" s="171">
        <f>C11+1</f>
        <v>8</v>
      </c>
      <c r="D12" s="73" t="s">
        <v>205</v>
      </c>
      <c r="E12" s="140"/>
      <c r="F12" s="16" t="s">
        <v>198</v>
      </c>
      <c r="G12" s="11"/>
      <c r="H12" s="139"/>
      <c r="I12" s="13" t="s">
        <v>243</v>
      </c>
      <c r="J12" s="12"/>
      <c r="L12" s="130" t="s">
        <v>126</v>
      </c>
      <c r="M12" s="131" t="s">
        <v>200</v>
      </c>
      <c r="N12" s="132" t="s">
        <v>125</v>
      </c>
      <c r="O12" s="130">
        <v>4</v>
      </c>
      <c r="P12" s="133">
        <f t="shared" si="0"/>
        <v>48</v>
      </c>
      <c r="Q12" s="133">
        <f t="shared" si="1"/>
        <v>60</v>
      </c>
      <c r="R12" s="137" t="s">
        <v>232</v>
      </c>
    </row>
    <row r="13" spans="1:18" ht="30">
      <c r="A13" s="113">
        <v>46239</v>
      </c>
      <c r="B13" s="13" t="s">
        <v>69</v>
      </c>
      <c r="C13" s="171">
        <f t="shared" ref="C13:C16" si="3">C12+1</f>
        <v>9</v>
      </c>
      <c r="D13" s="10" t="s">
        <v>194</v>
      </c>
      <c r="E13" s="125"/>
      <c r="F13" s="73" t="s">
        <v>205</v>
      </c>
      <c r="G13" s="11"/>
      <c r="H13" s="13" t="s">
        <v>195</v>
      </c>
      <c r="I13" s="135" t="s">
        <v>245</v>
      </c>
      <c r="J13" s="125"/>
      <c r="L13" s="130" t="s">
        <v>128</v>
      </c>
      <c r="M13" s="131" t="s">
        <v>201</v>
      </c>
      <c r="N13" s="132" t="s">
        <v>127</v>
      </c>
      <c r="O13" s="130">
        <v>4</v>
      </c>
      <c r="P13" s="133">
        <f t="shared" si="0"/>
        <v>48</v>
      </c>
      <c r="Q13" s="133">
        <f t="shared" si="1"/>
        <v>60</v>
      </c>
      <c r="R13" s="137" t="s">
        <v>281</v>
      </c>
    </row>
    <row r="14" spans="1:18">
      <c r="A14" s="113">
        <v>46240</v>
      </c>
      <c r="B14" s="13" t="s">
        <v>70</v>
      </c>
      <c r="C14" s="171">
        <f t="shared" si="3"/>
        <v>10</v>
      </c>
      <c r="D14" s="140" t="s">
        <v>198</v>
      </c>
      <c r="E14" s="12" t="s">
        <v>194</v>
      </c>
      <c r="F14" s="140"/>
      <c r="G14" s="14"/>
      <c r="H14" s="12" t="s">
        <v>273</v>
      </c>
      <c r="I14" s="13" t="s">
        <v>195</v>
      </c>
      <c r="J14" s="125"/>
      <c r="L14" s="130" t="s">
        <v>142</v>
      </c>
      <c r="M14" s="131" t="s">
        <v>207</v>
      </c>
      <c r="N14" s="132" t="s">
        <v>141</v>
      </c>
      <c r="O14" s="130">
        <v>4</v>
      </c>
      <c r="P14" s="133">
        <f t="shared" si="0"/>
        <v>48</v>
      </c>
      <c r="Q14" s="133">
        <f t="shared" si="1"/>
        <v>60</v>
      </c>
      <c r="R14" s="137" t="s">
        <v>240</v>
      </c>
    </row>
    <row r="15" spans="1:18" ht="30">
      <c r="A15" s="113">
        <v>46241</v>
      </c>
      <c r="B15" s="13" t="s">
        <v>71</v>
      </c>
      <c r="C15" s="171">
        <f t="shared" si="3"/>
        <v>11</v>
      </c>
      <c r="D15" s="125"/>
      <c r="E15" s="13" t="s">
        <v>194</v>
      </c>
      <c r="F15" s="12" t="s">
        <v>272</v>
      </c>
      <c r="G15" s="14"/>
      <c r="H15" s="73" t="s">
        <v>196</v>
      </c>
      <c r="I15" s="135" t="s">
        <v>245</v>
      </c>
      <c r="J15" s="12"/>
      <c r="L15" s="130" t="s">
        <v>144</v>
      </c>
      <c r="M15" s="131" t="s">
        <v>208</v>
      </c>
      <c r="N15" s="132" t="s">
        <v>143</v>
      </c>
      <c r="O15" s="130">
        <v>4</v>
      </c>
      <c r="P15" s="133">
        <f t="shared" si="0"/>
        <v>48</v>
      </c>
      <c r="Q15" s="133">
        <f t="shared" si="1"/>
        <v>60</v>
      </c>
      <c r="R15" s="137" t="s">
        <v>79</v>
      </c>
    </row>
    <row r="16" spans="1:18">
      <c r="A16" s="113">
        <v>46242</v>
      </c>
      <c r="B16" s="13" t="s">
        <v>72</v>
      </c>
      <c r="C16" s="171">
        <f t="shared" si="3"/>
        <v>12</v>
      </c>
      <c r="D16" s="10"/>
      <c r="E16" s="10"/>
      <c r="F16" s="13" t="s">
        <v>242</v>
      </c>
      <c r="G16" s="14"/>
      <c r="H16" s="13" t="s">
        <v>242</v>
      </c>
      <c r="I16" s="13" t="s">
        <v>195</v>
      </c>
      <c r="J16" s="109"/>
      <c r="L16" s="130" t="s">
        <v>146</v>
      </c>
      <c r="M16" s="131" t="s">
        <v>209</v>
      </c>
      <c r="N16" s="132" t="s">
        <v>145</v>
      </c>
      <c r="O16" s="130">
        <v>4</v>
      </c>
      <c r="P16" s="133">
        <f t="shared" si="0"/>
        <v>48</v>
      </c>
      <c r="Q16" s="133">
        <f t="shared" si="1"/>
        <v>60</v>
      </c>
      <c r="R16" s="137" t="s">
        <v>147</v>
      </c>
    </row>
    <row r="17" spans="1:18">
      <c r="A17" s="113">
        <v>46243</v>
      </c>
      <c r="B17" s="13" t="s">
        <v>73</v>
      </c>
      <c r="C17" s="171"/>
      <c r="D17" s="175"/>
      <c r="E17" s="176"/>
      <c r="F17" s="175"/>
      <c r="G17" s="177"/>
      <c r="H17" s="178"/>
      <c r="I17" s="179"/>
      <c r="J17" s="175"/>
      <c r="L17" s="130" t="s">
        <v>152</v>
      </c>
      <c r="M17" s="131" t="s">
        <v>202</v>
      </c>
      <c r="N17" s="132" t="s">
        <v>151</v>
      </c>
      <c r="O17" s="130">
        <v>4</v>
      </c>
      <c r="P17" s="133">
        <f t="shared" si="0"/>
        <v>48</v>
      </c>
      <c r="Q17" s="133">
        <f t="shared" si="1"/>
        <v>60</v>
      </c>
      <c r="R17" s="137" t="s">
        <v>241</v>
      </c>
    </row>
    <row r="18" spans="1:18">
      <c r="A18" s="113">
        <v>46244</v>
      </c>
      <c r="B18" s="13" t="s">
        <v>67</v>
      </c>
      <c r="C18" s="171">
        <f>C16+1</f>
        <v>13</v>
      </c>
      <c r="D18" s="125"/>
      <c r="E18" s="16" t="s">
        <v>194</v>
      </c>
      <c r="F18" s="12" t="s">
        <v>263</v>
      </c>
      <c r="G18" s="11"/>
      <c r="H18" s="135" t="s">
        <v>245</v>
      </c>
      <c r="I18" s="13" t="s">
        <v>243</v>
      </c>
      <c r="J18" s="13"/>
      <c r="L18" s="130" t="s">
        <v>130</v>
      </c>
      <c r="M18" s="131" t="s">
        <v>203</v>
      </c>
      <c r="N18" s="132" t="s">
        <v>129</v>
      </c>
      <c r="O18" s="130">
        <v>4</v>
      </c>
      <c r="P18" s="133">
        <f>Q18/1.25</f>
        <v>48</v>
      </c>
      <c r="Q18" s="133">
        <f>O18*15</f>
        <v>60</v>
      </c>
      <c r="R18" s="137" t="s">
        <v>131</v>
      </c>
    </row>
    <row r="19" spans="1:18">
      <c r="A19" s="113">
        <v>46245</v>
      </c>
      <c r="B19" s="13" t="s">
        <v>68</v>
      </c>
      <c r="C19" s="171">
        <f>C18+1</f>
        <v>14</v>
      </c>
      <c r="D19" s="12" t="s">
        <v>263</v>
      </c>
      <c r="E19" s="140"/>
      <c r="F19" s="16" t="s">
        <v>198</v>
      </c>
      <c r="G19" s="11"/>
      <c r="H19" s="12"/>
      <c r="I19" s="68" t="s">
        <v>292</v>
      </c>
      <c r="J19" s="12"/>
      <c r="L19" s="130" t="s">
        <v>133</v>
      </c>
      <c r="M19" s="131" t="s">
        <v>204</v>
      </c>
      <c r="N19" s="132" t="s">
        <v>132</v>
      </c>
      <c r="O19" s="130">
        <v>4</v>
      </c>
      <c r="P19" s="133">
        <f>Q19/1.25</f>
        <v>48</v>
      </c>
      <c r="Q19" s="133">
        <f>O19*15</f>
        <v>60</v>
      </c>
      <c r="R19" s="137" t="s">
        <v>134</v>
      </c>
    </row>
    <row r="20" spans="1:18" ht="30">
      <c r="A20" s="113">
        <v>46246</v>
      </c>
      <c r="B20" s="13" t="s">
        <v>69</v>
      </c>
      <c r="C20" s="171">
        <f t="shared" ref="C20:C22" si="4">C19+1</f>
        <v>15</v>
      </c>
      <c r="D20" s="10" t="s">
        <v>194</v>
      </c>
      <c r="E20" s="238" t="s">
        <v>196</v>
      </c>
      <c r="F20" s="12" t="s">
        <v>263</v>
      </c>
      <c r="G20" s="11"/>
      <c r="H20" s="13" t="s">
        <v>195</v>
      </c>
      <c r="I20" s="135" t="s">
        <v>245</v>
      </c>
      <c r="J20" s="125"/>
      <c r="K20" s="240" t="s">
        <v>294</v>
      </c>
      <c r="L20" s="130" t="s">
        <v>136</v>
      </c>
      <c r="M20" s="131" t="s">
        <v>205</v>
      </c>
      <c r="N20" s="132" t="s">
        <v>135</v>
      </c>
      <c r="O20" s="130">
        <v>4</v>
      </c>
      <c r="P20" s="133">
        <f>Q20/1.25</f>
        <v>48</v>
      </c>
      <c r="Q20" s="133">
        <f>O20*15</f>
        <v>60</v>
      </c>
      <c r="R20" s="137" t="s">
        <v>96</v>
      </c>
    </row>
    <row r="21" spans="1:18">
      <c r="A21" s="113">
        <v>46247</v>
      </c>
      <c r="B21" s="13" t="s">
        <v>70</v>
      </c>
      <c r="C21" s="171">
        <f t="shared" si="4"/>
        <v>16</v>
      </c>
      <c r="D21" s="140" t="s">
        <v>198</v>
      </c>
      <c r="E21" s="12" t="s">
        <v>194</v>
      </c>
      <c r="F21" s="238" t="s">
        <v>196</v>
      </c>
      <c r="G21" s="14"/>
      <c r="H21" s="12" t="s">
        <v>273</v>
      </c>
      <c r="I21" s="13" t="s">
        <v>195</v>
      </c>
      <c r="J21" s="125"/>
      <c r="K21" s="240" t="s">
        <v>294</v>
      </c>
      <c r="L21" s="4"/>
      <c r="M21" s="4"/>
      <c r="N21" s="54"/>
      <c r="O21" s="4">
        <f>SUM(O4:O20)</f>
        <v>63</v>
      </c>
      <c r="P21" s="4">
        <f>SUM(P4:P20)</f>
        <v>756</v>
      </c>
      <c r="Q21" s="4">
        <f>SUM(Q4:Q20)</f>
        <v>945</v>
      </c>
      <c r="R21" s="99"/>
    </row>
    <row r="22" spans="1:18">
      <c r="A22" s="113">
        <v>46248</v>
      </c>
      <c r="B22" s="13" t="s">
        <v>71</v>
      </c>
      <c r="C22" s="171">
        <f t="shared" si="4"/>
        <v>17</v>
      </c>
      <c r="D22" s="13" t="s">
        <v>157</v>
      </c>
      <c r="E22" s="13" t="s">
        <v>157</v>
      </c>
      <c r="F22" s="14" t="s">
        <v>308</v>
      </c>
      <c r="G22" s="14"/>
      <c r="H22" s="238" t="s">
        <v>196</v>
      </c>
      <c r="I22" s="174" t="s">
        <v>293</v>
      </c>
      <c r="J22" s="12"/>
      <c r="K22" s="5" t="s">
        <v>309</v>
      </c>
    </row>
    <row r="23" spans="1:18">
      <c r="A23" s="113">
        <v>46249</v>
      </c>
      <c r="B23" s="13" t="s">
        <v>72</v>
      </c>
      <c r="C23" s="227" t="s">
        <v>23</v>
      </c>
      <c r="D23" s="10"/>
      <c r="E23" s="10"/>
      <c r="F23" s="13"/>
      <c r="G23" s="14"/>
      <c r="H23" s="13"/>
      <c r="I23" s="13"/>
      <c r="J23" s="109"/>
    </row>
    <row r="24" spans="1:18" hidden="1">
      <c r="A24" s="113">
        <v>46250</v>
      </c>
      <c r="B24" s="13" t="s">
        <v>73</v>
      </c>
      <c r="C24" s="227"/>
      <c r="D24" s="175"/>
      <c r="E24" s="176"/>
      <c r="F24" s="175"/>
      <c r="G24" s="177"/>
      <c r="H24" s="178"/>
      <c r="I24" s="179"/>
      <c r="J24" s="175"/>
    </row>
    <row r="25" spans="1:18" hidden="1">
      <c r="A25" s="113">
        <v>46251</v>
      </c>
      <c r="B25" s="13" t="s">
        <v>67</v>
      </c>
      <c r="C25" s="227">
        <f>C22+1</f>
        <v>18</v>
      </c>
      <c r="D25" s="238" t="s">
        <v>196</v>
      </c>
      <c r="E25" s="16" t="s">
        <v>194</v>
      </c>
      <c r="F25" s="12" t="s">
        <v>263</v>
      </c>
      <c r="G25" s="11"/>
      <c r="H25" s="135" t="s">
        <v>201</v>
      </c>
      <c r="I25" s="13" t="s">
        <v>243</v>
      </c>
      <c r="J25" s="13"/>
      <c r="N25" s="102"/>
      <c r="O25" s="5"/>
    </row>
    <row r="26" spans="1:18" hidden="1">
      <c r="A26" s="113">
        <v>46252</v>
      </c>
      <c r="B26" s="13" t="s">
        <v>68</v>
      </c>
      <c r="C26" s="227">
        <f>C25+1</f>
        <v>19</v>
      </c>
      <c r="D26" s="12" t="s">
        <v>263</v>
      </c>
      <c r="E26" s="140"/>
      <c r="F26" s="16" t="s">
        <v>198</v>
      </c>
      <c r="G26" s="11"/>
      <c r="H26" s="12"/>
      <c r="I26" s="68" t="s">
        <v>292</v>
      </c>
      <c r="J26" s="12"/>
      <c r="L26" s="29"/>
      <c r="O26" s="5"/>
      <c r="P26" s="1"/>
      <c r="Q26" s="1"/>
    </row>
    <row r="27" spans="1:18" ht="30" hidden="1">
      <c r="A27" s="113">
        <v>46253</v>
      </c>
      <c r="B27" s="13" t="s">
        <v>69</v>
      </c>
      <c r="C27" s="227">
        <f t="shared" ref="C27:C30" si="5">C26+1</f>
        <v>20</v>
      </c>
      <c r="D27" s="10" t="s">
        <v>194</v>
      </c>
      <c r="E27" s="238" t="s">
        <v>196</v>
      </c>
      <c r="F27" s="12" t="s">
        <v>263</v>
      </c>
      <c r="G27" s="11"/>
      <c r="H27" s="13" t="s">
        <v>195</v>
      </c>
      <c r="I27" s="135" t="s">
        <v>245</v>
      </c>
      <c r="J27" s="125"/>
      <c r="K27" s="110"/>
      <c r="N27" s="28"/>
      <c r="O27" s="5"/>
    </row>
    <row r="28" spans="1:18" hidden="1">
      <c r="A28" s="113">
        <v>46254</v>
      </c>
      <c r="B28" s="13" t="s">
        <v>70</v>
      </c>
      <c r="C28" s="227">
        <f t="shared" si="5"/>
        <v>21</v>
      </c>
      <c r="D28" s="140" t="s">
        <v>198</v>
      </c>
      <c r="E28" s="12" t="s">
        <v>194</v>
      </c>
      <c r="F28" s="238" t="s">
        <v>196</v>
      </c>
      <c r="G28" s="14"/>
      <c r="H28" s="12" t="s">
        <v>273</v>
      </c>
      <c r="I28" s="13" t="s">
        <v>195</v>
      </c>
      <c r="J28" s="125"/>
      <c r="K28" s="5" t="s">
        <v>294</v>
      </c>
      <c r="N28" s="28"/>
    </row>
    <row r="29" spans="1:18" hidden="1">
      <c r="A29" s="113">
        <v>46255</v>
      </c>
      <c r="B29" s="13" t="s">
        <v>71</v>
      </c>
      <c r="C29" s="227">
        <f t="shared" si="5"/>
        <v>22</v>
      </c>
      <c r="D29" s="125"/>
      <c r="E29" s="13" t="s">
        <v>194</v>
      </c>
      <c r="F29" s="12" t="s">
        <v>272</v>
      </c>
      <c r="G29" s="14"/>
      <c r="H29" s="238" t="s">
        <v>196</v>
      </c>
      <c r="I29" s="174" t="s">
        <v>293</v>
      </c>
      <c r="J29" s="183"/>
      <c r="K29" s="5" t="s">
        <v>321</v>
      </c>
      <c r="N29" s="28"/>
    </row>
    <row r="30" spans="1:18" hidden="1">
      <c r="A30" s="113">
        <v>46256</v>
      </c>
      <c r="B30" s="13" t="s">
        <v>72</v>
      </c>
      <c r="C30" s="227">
        <f t="shared" si="5"/>
        <v>23</v>
      </c>
      <c r="D30" s="180"/>
      <c r="E30" s="180"/>
      <c r="F30" s="13" t="s">
        <v>242</v>
      </c>
      <c r="G30" s="14"/>
      <c r="H30" s="13" t="s">
        <v>242</v>
      </c>
      <c r="I30" s="13" t="s">
        <v>195</v>
      </c>
      <c r="J30" s="183"/>
      <c r="N30" s="28"/>
    </row>
    <row r="31" spans="1:18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3"/>
      <c r="J31" s="13"/>
      <c r="N31" s="28"/>
    </row>
    <row r="32" spans="1:18" hidden="1">
      <c r="A32" s="113">
        <v>46258</v>
      </c>
      <c r="B32" s="13" t="s">
        <v>67</v>
      </c>
      <c r="C32" s="227">
        <f>C29+1</f>
        <v>23</v>
      </c>
      <c r="D32" s="238" t="s">
        <v>196</v>
      </c>
      <c r="E32" s="16" t="s">
        <v>194</v>
      </c>
      <c r="F32" s="12" t="s">
        <v>263</v>
      </c>
      <c r="G32" s="11"/>
      <c r="H32" s="135" t="s">
        <v>201</v>
      </c>
      <c r="I32" s="13" t="s">
        <v>243</v>
      </c>
      <c r="J32" s="13"/>
      <c r="N32" s="29"/>
    </row>
    <row r="33" spans="1:18" hidden="1">
      <c r="A33" s="113">
        <v>46259</v>
      </c>
      <c r="B33" s="13" t="s">
        <v>68</v>
      </c>
      <c r="C33" s="227">
        <f>C32+1</f>
        <v>24</v>
      </c>
      <c r="D33" s="12" t="s">
        <v>263</v>
      </c>
      <c r="E33" s="140"/>
      <c r="F33" s="16" t="s">
        <v>198</v>
      </c>
      <c r="G33" s="11"/>
      <c r="H33" s="12"/>
      <c r="I33" s="68" t="s">
        <v>292</v>
      </c>
      <c r="J33" s="12"/>
      <c r="N33" s="28"/>
    </row>
    <row r="34" spans="1:18" hidden="1">
      <c r="A34" s="113">
        <v>46260</v>
      </c>
      <c r="B34" s="13" t="s">
        <v>69</v>
      </c>
      <c r="C34" s="114">
        <f t="shared" ref="C34:C35" si="6">C33+1</f>
        <v>25</v>
      </c>
      <c r="D34" s="10" t="s">
        <v>194</v>
      </c>
      <c r="E34" s="238" t="s">
        <v>196</v>
      </c>
      <c r="F34" s="12" t="s">
        <v>263</v>
      </c>
      <c r="G34" s="11"/>
      <c r="H34" s="13" t="s">
        <v>195</v>
      </c>
      <c r="I34" s="135" t="s">
        <v>201</v>
      </c>
      <c r="J34" s="125"/>
      <c r="K34" s="110"/>
      <c r="N34" s="28"/>
      <c r="O34" s="5"/>
      <c r="R34" s="1"/>
    </row>
    <row r="35" spans="1:18" hidden="1">
      <c r="A35" s="113">
        <v>46261</v>
      </c>
      <c r="B35" s="13" t="s">
        <v>70</v>
      </c>
      <c r="C35" s="114">
        <f t="shared" si="6"/>
        <v>26</v>
      </c>
      <c r="D35" s="140" t="s">
        <v>198</v>
      </c>
      <c r="E35" s="12" t="s">
        <v>194</v>
      </c>
      <c r="F35" s="238" t="s">
        <v>196</v>
      </c>
      <c r="G35" s="14"/>
      <c r="H35" s="12" t="s">
        <v>273</v>
      </c>
      <c r="I35" s="13" t="s">
        <v>195</v>
      </c>
      <c r="J35" s="125"/>
      <c r="N35" s="28"/>
      <c r="O35" s="5"/>
      <c r="Q35" s="1"/>
    </row>
    <row r="36" spans="1:18" hidden="1">
      <c r="A36" s="113">
        <v>46262</v>
      </c>
      <c r="B36" s="13" t="s">
        <v>71</v>
      </c>
      <c r="C36" s="114" t="s">
        <v>22</v>
      </c>
      <c r="D36" s="125"/>
      <c r="E36" s="13"/>
      <c r="F36" s="12"/>
      <c r="G36" s="14"/>
      <c r="H36" s="13"/>
      <c r="I36" s="174"/>
      <c r="J36" s="12"/>
      <c r="N36" s="28"/>
      <c r="O36" s="5"/>
      <c r="Q36" s="1"/>
    </row>
    <row r="37" spans="1:18" hidden="1">
      <c r="A37" s="113">
        <v>46263</v>
      </c>
      <c r="B37" s="13" t="s">
        <v>72</v>
      </c>
      <c r="C37" s="12">
        <f>C35+1</f>
        <v>27</v>
      </c>
      <c r="D37" s="180"/>
      <c r="E37" s="180"/>
      <c r="F37" s="13" t="s">
        <v>242</v>
      </c>
      <c r="G37" s="14"/>
      <c r="H37" s="13" t="s">
        <v>242</v>
      </c>
      <c r="I37" s="13" t="s">
        <v>195</v>
      </c>
      <c r="J37" s="183"/>
      <c r="N37" s="28"/>
      <c r="O37" s="5"/>
      <c r="Q37" s="1"/>
    </row>
    <row r="38" spans="1:18">
      <c r="A38" s="113">
        <v>46264</v>
      </c>
      <c r="B38" s="13" t="s">
        <v>73</v>
      </c>
      <c r="C38" s="115"/>
      <c r="D38" s="13"/>
      <c r="E38" s="13"/>
      <c r="F38" s="13"/>
      <c r="G38" s="15"/>
      <c r="H38" s="109"/>
      <c r="I38" s="10"/>
      <c r="J38" s="13"/>
      <c r="N38" s="28"/>
      <c r="O38" s="5"/>
      <c r="Q38" s="1"/>
    </row>
    <row r="39" spans="1:18">
      <c r="A39" s="113">
        <v>46265</v>
      </c>
      <c r="B39" s="13" t="s">
        <v>67</v>
      </c>
      <c r="C39" s="114">
        <f>C37+1</f>
        <v>28</v>
      </c>
      <c r="D39" s="238" t="s">
        <v>196</v>
      </c>
      <c r="E39" s="16" t="s">
        <v>194</v>
      </c>
      <c r="F39" s="12" t="s">
        <v>263</v>
      </c>
      <c r="G39" s="11"/>
      <c r="H39" s="135" t="s">
        <v>201</v>
      </c>
      <c r="I39" s="13" t="s">
        <v>243</v>
      </c>
      <c r="J39" s="13"/>
      <c r="N39" s="28"/>
      <c r="O39" s="5"/>
      <c r="Q39" s="1"/>
    </row>
    <row r="40" spans="1:18">
      <c r="A40" s="113">
        <v>46266</v>
      </c>
      <c r="B40" s="13" t="s">
        <v>68</v>
      </c>
      <c r="C40" s="114">
        <f>C39+1</f>
        <v>29</v>
      </c>
      <c r="D40" s="12" t="s">
        <v>263</v>
      </c>
      <c r="E40" s="140"/>
      <c r="F40" s="16" t="s">
        <v>198</v>
      </c>
      <c r="G40" s="11"/>
      <c r="H40" s="12"/>
      <c r="I40" s="68" t="s">
        <v>292</v>
      </c>
      <c r="J40" s="12"/>
      <c r="N40" s="28"/>
      <c r="O40" s="5"/>
      <c r="Q40" s="1"/>
    </row>
    <row r="41" spans="1:18">
      <c r="A41" s="113">
        <v>46267</v>
      </c>
      <c r="B41" s="13" t="s">
        <v>69</v>
      </c>
      <c r="C41" s="114">
        <f t="shared" ref="C41:C42" si="7">C40+1</f>
        <v>30</v>
      </c>
      <c r="D41" s="10" t="s">
        <v>194</v>
      </c>
      <c r="E41" s="238" t="s">
        <v>196</v>
      </c>
      <c r="F41" s="12" t="s">
        <v>263</v>
      </c>
      <c r="G41" s="11"/>
      <c r="H41" s="13" t="s">
        <v>195</v>
      </c>
      <c r="I41" s="135" t="s">
        <v>201</v>
      </c>
      <c r="J41" s="125"/>
      <c r="K41" s="110"/>
      <c r="N41" s="28"/>
      <c r="O41" s="5"/>
      <c r="Q41" s="1"/>
    </row>
    <row r="42" spans="1:18">
      <c r="A42" s="113">
        <v>46268</v>
      </c>
      <c r="B42" s="13" t="s">
        <v>70</v>
      </c>
      <c r="C42" s="114">
        <f t="shared" si="7"/>
        <v>31</v>
      </c>
      <c r="D42" s="140" t="s">
        <v>198</v>
      </c>
      <c r="E42" s="12" t="s">
        <v>194</v>
      </c>
      <c r="F42" s="238" t="s">
        <v>196</v>
      </c>
      <c r="G42" s="14"/>
      <c r="H42" s="12" t="s">
        <v>273</v>
      </c>
      <c r="I42" s="13" t="s">
        <v>195</v>
      </c>
      <c r="J42" s="125"/>
      <c r="N42" s="28"/>
      <c r="O42" s="5"/>
      <c r="P42" s="1"/>
      <c r="Q42" s="1"/>
      <c r="R42" s="28"/>
    </row>
    <row r="43" spans="1:18">
      <c r="A43" s="113">
        <v>46269</v>
      </c>
      <c r="B43" s="13" t="s">
        <v>71</v>
      </c>
      <c r="C43" s="114" t="s">
        <v>81</v>
      </c>
      <c r="D43" s="125"/>
      <c r="E43" s="13"/>
      <c r="F43" s="12"/>
      <c r="G43" s="14"/>
      <c r="H43" s="13"/>
      <c r="I43" s="174"/>
      <c r="J43" s="12"/>
      <c r="N43" s="28"/>
      <c r="O43" s="5"/>
      <c r="P43" s="1"/>
      <c r="Q43" s="1"/>
      <c r="R43" s="1"/>
    </row>
    <row r="44" spans="1:18">
      <c r="A44" s="113">
        <v>46270</v>
      </c>
      <c r="B44" s="13" t="s">
        <v>72</v>
      </c>
      <c r="C44" s="12">
        <f>C42+1</f>
        <v>32</v>
      </c>
      <c r="D44" s="180"/>
      <c r="E44" s="180"/>
      <c r="F44" s="13" t="s">
        <v>242</v>
      </c>
      <c r="G44" s="14"/>
      <c r="H44" s="13" t="s">
        <v>242</v>
      </c>
      <c r="I44" s="13" t="s">
        <v>195</v>
      </c>
      <c r="J44" s="183"/>
      <c r="N44" s="28"/>
      <c r="O44" s="5"/>
      <c r="P44" s="1"/>
      <c r="Q44" s="1"/>
      <c r="R44" s="3"/>
    </row>
    <row r="45" spans="1:18">
      <c r="A45" s="113">
        <v>46271</v>
      </c>
      <c r="B45" s="13" t="s">
        <v>73</v>
      </c>
      <c r="C45" s="114"/>
      <c r="D45" s="13"/>
      <c r="E45" s="12"/>
      <c r="F45" s="13"/>
      <c r="G45" s="15"/>
      <c r="H45" s="109"/>
      <c r="I45" s="10"/>
      <c r="J45" s="13"/>
      <c r="N45" s="28"/>
      <c r="O45" s="5"/>
      <c r="P45" s="1"/>
      <c r="Q45" s="1"/>
      <c r="R45" s="1"/>
    </row>
    <row r="46" spans="1:18">
      <c r="A46" s="113">
        <v>46272</v>
      </c>
      <c r="B46" s="13" t="s">
        <v>67</v>
      </c>
      <c r="C46" s="114">
        <f>C44+1</f>
        <v>33</v>
      </c>
      <c r="D46" s="238" t="s">
        <v>196</v>
      </c>
      <c r="E46" s="16" t="s">
        <v>194</v>
      </c>
      <c r="F46" s="18"/>
      <c r="G46" s="11"/>
      <c r="H46" s="135" t="s">
        <v>201</v>
      </c>
      <c r="I46" s="13" t="s">
        <v>243</v>
      </c>
      <c r="J46" s="13"/>
      <c r="N46" s="28"/>
      <c r="O46" s="5"/>
      <c r="P46" s="1"/>
      <c r="Q46" s="1"/>
      <c r="R46" s="1"/>
    </row>
    <row r="47" spans="1:18">
      <c r="A47" s="113">
        <v>46273</v>
      </c>
      <c r="B47" s="13" t="s">
        <v>68</v>
      </c>
      <c r="C47" s="114">
        <f>C46+1</f>
        <v>34</v>
      </c>
      <c r="D47" s="12" t="s">
        <v>263</v>
      </c>
      <c r="E47" s="140"/>
      <c r="F47" s="16" t="s">
        <v>198</v>
      </c>
      <c r="G47" s="11"/>
      <c r="H47" s="12"/>
      <c r="I47" s="68" t="s">
        <v>292</v>
      </c>
      <c r="J47" s="12"/>
      <c r="N47" s="28"/>
      <c r="O47" s="5"/>
      <c r="P47" s="1"/>
      <c r="Q47" s="1"/>
      <c r="R47" s="1"/>
    </row>
    <row r="48" spans="1:18">
      <c r="A48" s="113">
        <v>46274</v>
      </c>
      <c r="B48" s="13" t="s">
        <v>69</v>
      </c>
      <c r="C48" s="114">
        <f t="shared" ref="C48:C51" si="8">C47+1</f>
        <v>35</v>
      </c>
      <c r="D48" s="10" t="s">
        <v>194</v>
      </c>
      <c r="E48" s="238" t="s">
        <v>196</v>
      </c>
      <c r="F48" s="12" t="s">
        <v>263</v>
      </c>
      <c r="G48" s="11"/>
      <c r="H48" s="13" t="s">
        <v>195</v>
      </c>
      <c r="I48" s="135" t="s">
        <v>201</v>
      </c>
      <c r="J48" s="125"/>
      <c r="K48" s="110"/>
      <c r="N48" s="28"/>
      <c r="O48" s="5"/>
      <c r="P48" s="1"/>
      <c r="Q48" s="1"/>
      <c r="R48" s="1"/>
    </row>
    <row r="49" spans="1:18">
      <c r="A49" s="113">
        <v>46275</v>
      </c>
      <c r="B49" s="13" t="s">
        <v>70</v>
      </c>
      <c r="C49" s="114">
        <f t="shared" si="8"/>
        <v>36</v>
      </c>
      <c r="D49" s="140" t="s">
        <v>198</v>
      </c>
      <c r="E49" s="12" t="s">
        <v>194</v>
      </c>
      <c r="F49" s="238" t="s">
        <v>196</v>
      </c>
      <c r="G49" s="14"/>
      <c r="H49" s="12" t="s">
        <v>273</v>
      </c>
      <c r="I49" s="13" t="s">
        <v>195</v>
      </c>
      <c r="J49" s="125"/>
      <c r="N49" s="28"/>
      <c r="O49" s="5"/>
      <c r="P49" s="1"/>
      <c r="Q49" s="1"/>
      <c r="R49" s="1"/>
    </row>
    <row r="50" spans="1:18" ht="30">
      <c r="A50" s="113">
        <v>46276</v>
      </c>
      <c r="B50" s="13" t="s">
        <v>71</v>
      </c>
      <c r="C50" s="114">
        <f t="shared" si="8"/>
        <v>37</v>
      </c>
      <c r="D50" s="125"/>
      <c r="E50" s="13" t="s">
        <v>194</v>
      </c>
      <c r="F50" s="12" t="s">
        <v>272</v>
      </c>
      <c r="G50" s="14"/>
      <c r="H50" s="13" t="s">
        <v>157</v>
      </c>
      <c r="I50" s="174" t="s">
        <v>320</v>
      </c>
      <c r="J50" s="12" t="s">
        <v>157</v>
      </c>
      <c r="K50" s="5" t="s">
        <v>321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8"/>
        <v>38</v>
      </c>
      <c r="D51" s="180"/>
      <c r="E51" s="180"/>
      <c r="F51" s="13" t="s">
        <v>242</v>
      </c>
      <c r="G51" s="14"/>
      <c r="H51" s="13" t="s">
        <v>242</v>
      </c>
      <c r="I51" s="13" t="s">
        <v>195</v>
      </c>
      <c r="J51" s="183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O52" s="5"/>
      <c r="P52" s="1"/>
      <c r="Q52" s="1"/>
      <c r="R52" s="1"/>
    </row>
  </sheetData>
  <mergeCells count="2">
    <mergeCell ref="A1:J1"/>
    <mergeCell ref="A2:J2"/>
  </mergeCells>
  <conditionalFormatting sqref="B1:B2">
    <cfRule type="cellIs" dxfId="14" priority="4" operator="equal">
      <formula>"Sat"</formula>
    </cfRule>
  </conditionalFormatting>
  <conditionalFormatting sqref="B4:B52">
    <cfRule type="containsText" dxfId="13" priority="1" operator="containsText" text="Sun">
      <formula>NOT(ISERROR(SEARCH("Sun",B4)))</formula>
    </cfRule>
  </conditionalFormatting>
  <conditionalFormatting sqref="B60:B1048576">
    <cfRule type="cellIs" dxfId="12" priority="2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688B-E398-44A9-806D-53BA49E0FDFB}">
  <dimension ref="A1:S52"/>
  <sheetViews>
    <sheetView zoomScale="90" zoomScaleNormal="90" workbookViewId="0">
      <pane xSplit="1" ySplit="3" topLeftCell="B41" activePane="bottomRight" state="frozen"/>
      <selection pane="topRight" activeCell="B1" sqref="B1"/>
      <selection pane="bottomLeft" activeCell="A4" sqref="A4"/>
      <selection pane="bottomRight" activeCell="A53" sqref="A53:XFD165"/>
    </sheetView>
  </sheetViews>
  <sheetFormatPr defaultRowHeight="15"/>
  <cols>
    <col min="1" max="1" width="10.140625" style="103" bestFit="1" customWidth="1"/>
    <col min="2" max="2" width="10.85546875" style="104" customWidth="1"/>
    <col min="3" max="3" width="20.28515625" style="104" bestFit="1" customWidth="1"/>
    <col min="4" max="10" width="12.7109375" style="101" customWidth="1"/>
    <col min="11" max="11" width="15.5703125" style="28" customWidth="1"/>
    <col min="12" max="12" width="13.42578125" style="3" bestFit="1" customWidth="1"/>
    <col min="13" max="13" width="9.42578125" style="3" bestFit="1" customWidth="1"/>
    <col min="14" max="14" width="9.42578125" style="3" customWidth="1"/>
    <col min="15" max="15" width="48.28515625" style="5" bestFit="1" customWidth="1"/>
    <col min="16" max="16" width="7" style="1" bestFit="1" customWidth="1"/>
    <col min="17" max="17" width="9.140625" style="1" bestFit="1" customWidth="1"/>
    <col min="18" max="18" width="5.5703125" style="1" bestFit="1" customWidth="1"/>
    <col min="19" max="19" width="25.85546875" style="5" bestFit="1" customWidth="1"/>
    <col min="20" max="16384" width="9.140625" style="5"/>
  </cols>
  <sheetData>
    <row r="1" spans="1:19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9" ht="18.75">
      <c r="A2" s="277" t="s">
        <v>257</v>
      </c>
      <c r="B2" s="277"/>
      <c r="C2" s="277"/>
      <c r="D2" s="277"/>
      <c r="E2" s="277"/>
      <c r="F2" s="277"/>
      <c r="G2" s="277"/>
      <c r="H2" s="277"/>
      <c r="I2" s="277"/>
      <c r="J2" s="277"/>
    </row>
    <row r="3" spans="1:19" s="3" customFormat="1">
      <c r="A3" s="13" t="s">
        <v>5</v>
      </c>
      <c r="B3" s="13" t="s">
        <v>0</v>
      </c>
      <c r="C3" s="171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K3" s="29"/>
      <c r="L3" s="4" t="s">
        <v>17</v>
      </c>
      <c r="M3" s="106" t="s">
        <v>18</v>
      </c>
      <c r="N3" s="106"/>
      <c r="O3" s="4" t="s">
        <v>1</v>
      </c>
      <c r="P3" s="4" t="s">
        <v>2</v>
      </c>
      <c r="Q3" s="4" t="s">
        <v>3</v>
      </c>
      <c r="R3" s="4" t="s">
        <v>6</v>
      </c>
      <c r="S3" s="4" t="s">
        <v>4</v>
      </c>
    </row>
    <row r="4" spans="1:19">
      <c r="A4" s="113">
        <v>46230</v>
      </c>
      <c r="B4" s="13" t="s">
        <v>67</v>
      </c>
      <c r="C4" s="171">
        <v>1</v>
      </c>
      <c r="D4" s="135" t="s">
        <v>226</v>
      </c>
      <c r="E4" s="162"/>
      <c r="F4" s="148" t="s">
        <v>212</v>
      </c>
      <c r="G4" s="155"/>
      <c r="H4" s="163"/>
      <c r="I4" s="135" t="s">
        <v>77</v>
      </c>
      <c r="J4" s="164"/>
      <c r="K4" s="240"/>
      <c r="L4" s="124" t="s">
        <v>171</v>
      </c>
      <c r="M4" s="105" t="s">
        <v>212</v>
      </c>
      <c r="N4" s="105"/>
      <c r="O4" s="122" t="s">
        <v>170</v>
      </c>
      <c r="P4" s="124">
        <v>3</v>
      </c>
      <c r="Q4" s="7">
        <f>R4/1.25</f>
        <v>36</v>
      </c>
      <c r="R4" s="7">
        <f>P4*15</f>
        <v>45</v>
      </c>
      <c r="S4" s="138" t="s">
        <v>159</v>
      </c>
    </row>
    <row r="5" spans="1:19">
      <c r="A5" s="113">
        <v>46231</v>
      </c>
      <c r="B5" s="13" t="s">
        <v>68</v>
      </c>
      <c r="C5" s="171">
        <f>C4+1</f>
        <v>2</v>
      </c>
      <c r="D5" s="165"/>
      <c r="E5" s="148" t="s">
        <v>77</v>
      </c>
      <c r="F5" s="162"/>
      <c r="G5" s="155"/>
      <c r="H5" s="154" t="s">
        <v>212</v>
      </c>
      <c r="I5" s="148" t="s">
        <v>261</v>
      </c>
      <c r="J5" s="135" t="s">
        <v>224</v>
      </c>
      <c r="K5" s="240"/>
      <c r="L5" s="124" t="s">
        <v>193</v>
      </c>
      <c r="M5" s="105" t="s">
        <v>77</v>
      </c>
      <c r="N5" s="105"/>
      <c r="O5" s="122" t="s">
        <v>74</v>
      </c>
      <c r="P5" s="124">
        <v>3</v>
      </c>
      <c r="Q5" s="7">
        <f t="shared" ref="Q5:Q6" si="0">R5/1.25</f>
        <v>36</v>
      </c>
      <c r="R5" s="7">
        <f t="shared" ref="R5:R6" si="1">P5*15</f>
        <v>45</v>
      </c>
      <c r="S5" s="138" t="s">
        <v>109</v>
      </c>
    </row>
    <row r="6" spans="1:19">
      <c r="A6" s="113">
        <v>46232</v>
      </c>
      <c r="B6" s="13" t="s">
        <v>69</v>
      </c>
      <c r="C6" s="171">
        <f t="shared" ref="C6:C9" si="2">C5+1</f>
        <v>3</v>
      </c>
      <c r="D6" s="135" t="s">
        <v>252</v>
      </c>
      <c r="E6" s="163"/>
      <c r="F6" s="135" t="s">
        <v>226</v>
      </c>
      <c r="G6" s="155"/>
      <c r="H6" s="135" t="s">
        <v>250</v>
      </c>
      <c r="I6" s="12"/>
      <c r="J6" s="163"/>
      <c r="L6" s="166" t="s">
        <v>173</v>
      </c>
      <c r="M6" s="167" t="s">
        <v>220</v>
      </c>
      <c r="N6" s="167"/>
      <c r="O6" s="168" t="s">
        <v>172</v>
      </c>
      <c r="P6" s="166">
        <v>2</v>
      </c>
      <c r="Q6" s="144">
        <f t="shared" si="0"/>
        <v>24</v>
      </c>
      <c r="R6" s="144">
        <f t="shared" si="1"/>
        <v>30</v>
      </c>
      <c r="S6" s="145" t="s">
        <v>107</v>
      </c>
    </row>
    <row r="7" spans="1:19">
      <c r="A7" s="113">
        <v>46233</v>
      </c>
      <c r="B7" s="13" t="s">
        <v>70</v>
      </c>
      <c r="C7" s="171">
        <f t="shared" si="2"/>
        <v>4</v>
      </c>
      <c r="D7" s="148"/>
      <c r="E7" s="148" t="s">
        <v>261</v>
      </c>
      <c r="F7" s="163"/>
      <c r="G7" s="155"/>
      <c r="H7" s="135" t="s">
        <v>212</v>
      </c>
      <c r="I7" s="140"/>
      <c r="J7" s="135" t="s">
        <v>262</v>
      </c>
      <c r="L7" s="124"/>
      <c r="M7" s="147" t="s">
        <v>226</v>
      </c>
      <c r="N7" s="230"/>
      <c r="O7" s="142" t="s">
        <v>246</v>
      </c>
      <c r="P7" s="124">
        <v>4</v>
      </c>
      <c r="Q7" s="129">
        <f>R7/1.25</f>
        <v>48</v>
      </c>
      <c r="R7" s="129">
        <f>P7*15</f>
        <v>60</v>
      </c>
      <c r="S7" s="149" t="s">
        <v>178</v>
      </c>
    </row>
    <row r="8" spans="1:19">
      <c r="A8" s="113">
        <v>46234</v>
      </c>
      <c r="B8" s="13" t="s">
        <v>71</v>
      </c>
      <c r="C8" s="171">
        <f t="shared" si="2"/>
        <v>5</v>
      </c>
      <c r="D8" s="148" t="s">
        <v>261</v>
      </c>
      <c r="E8" s="163"/>
      <c r="F8" s="156" t="s">
        <v>252</v>
      </c>
      <c r="G8" s="155"/>
      <c r="H8" s="135" t="s">
        <v>77</v>
      </c>
      <c r="I8" s="135" t="s">
        <v>224</v>
      </c>
      <c r="J8" s="163"/>
      <c r="L8" s="124" t="s">
        <v>163</v>
      </c>
      <c r="M8" s="146" t="s">
        <v>78</v>
      </c>
      <c r="N8" s="231">
        <v>46</v>
      </c>
      <c r="O8" s="142" t="s">
        <v>162</v>
      </c>
      <c r="P8" s="124">
        <v>4</v>
      </c>
      <c r="Q8" s="129">
        <f t="shared" ref="Q8:Q22" si="3">R8/1.25</f>
        <v>48</v>
      </c>
      <c r="R8" s="129">
        <f t="shared" ref="R8:R22" si="4">P8*15</f>
        <v>60</v>
      </c>
      <c r="S8" s="150" t="s">
        <v>238</v>
      </c>
    </row>
    <row r="9" spans="1:19">
      <c r="A9" s="113">
        <v>46235</v>
      </c>
      <c r="B9" s="13" t="s">
        <v>72</v>
      </c>
      <c r="C9" s="171">
        <f t="shared" si="2"/>
        <v>6</v>
      </c>
      <c r="D9" s="10"/>
      <c r="E9" s="10"/>
      <c r="F9" s="13"/>
      <c r="G9" s="14"/>
      <c r="H9" s="13" t="s">
        <v>249</v>
      </c>
      <c r="I9" s="13" t="s">
        <v>249</v>
      </c>
      <c r="J9" s="109"/>
      <c r="L9" s="124" t="s">
        <v>167</v>
      </c>
      <c r="M9" s="147" t="s">
        <v>213</v>
      </c>
      <c r="N9" s="230">
        <v>32</v>
      </c>
      <c r="O9" s="142" t="s">
        <v>166</v>
      </c>
      <c r="P9" s="124">
        <v>4</v>
      </c>
      <c r="Q9" s="129">
        <f t="shared" si="3"/>
        <v>48</v>
      </c>
      <c r="R9" s="129">
        <f t="shared" si="4"/>
        <v>60</v>
      </c>
      <c r="S9" s="157" t="s">
        <v>235</v>
      </c>
    </row>
    <row r="10" spans="1:19">
      <c r="A10" s="113">
        <v>46236</v>
      </c>
      <c r="B10" s="13" t="s">
        <v>73</v>
      </c>
      <c r="C10" s="171"/>
      <c r="D10" s="13"/>
      <c r="E10" s="12"/>
      <c r="F10" s="13"/>
      <c r="G10" s="15"/>
      <c r="H10" s="109"/>
      <c r="I10" s="10"/>
      <c r="J10" s="13"/>
      <c r="L10" s="124" t="s">
        <v>175</v>
      </c>
      <c r="M10" s="147" t="s">
        <v>221</v>
      </c>
      <c r="N10" s="230">
        <v>43</v>
      </c>
      <c r="O10" s="142" t="s">
        <v>174</v>
      </c>
      <c r="P10" s="124">
        <v>4</v>
      </c>
      <c r="Q10" s="129">
        <f t="shared" si="3"/>
        <v>48</v>
      </c>
      <c r="R10" s="129">
        <f t="shared" si="4"/>
        <v>60</v>
      </c>
      <c r="S10" s="151" t="s">
        <v>112</v>
      </c>
    </row>
    <row r="11" spans="1:19">
      <c r="A11" s="113">
        <v>46237</v>
      </c>
      <c r="B11" s="13" t="s">
        <v>67</v>
      </c>
      <c r="C11" s="171">
        <f>C9+1</f>
        <v>7</v>
      </c>
      <c r="D11" s="135" t="s">
        <v>226</v>
      </c>
      <c r="E11" s="162"/>
      <c r="F11" s="148" t="s">
        <v>212</v>
      </c>
      <c r="G11" s="155"/>
      <c r="H11" s="163"/>
      <c r="I11" s="135" t="s">
        <v>77</v>
      </c>
      <c r="J11" s="164"/>
      <c r="L11" s="124" t="s">
        <v>180</v>
      </c>
      <c r="M11" s="147" t="s">
        <v>222</v>
      </c>
      <c r="N11" s="230">
        <v>46</v>
      </c>
      <c r="O11" s="142" t="s">
        <v>179</v>
      </c>
      <c r="P11" s="124">
        <v>4</v>
      </c>
      <c r="Q11" s="129">
        <f t="shared" si="3"/>
        <v>48</v>
      </c>
      <c r="R11" s="129">
        <f t="shared" si="4"/>
        <v>60</v>
      </c>
      <c r="S11" s="151" t="s">
        <v>79</v>
      </c>
    </row>
    <row r="12" spans="1:19" ht="30">
      <c r="A12" s="113">
        <v>46238</v>
      </c>
      <c r="B12" s="13" t="s">
        <v>68</v>
      </c>
      <c r="C12" s="171">
        <f>C11+1</f>
        <v>8</v>
      </c>
      <c r="D12" s="165"/>
      <c r="E12" s="148" t="s">
        <v>77</v>
      </c>
      <c r="F12" s="162"/>
      <c r="G12" s="155"/>
      <c r="H12" s="154" t="s">
        <v>212</v>
      </c>
      <c r="I12" s="148" t="s">
        <v>268</v>
      </c>
      <c r="J12" s="174" t="s">
        <v>271</v>
      </c>
      <c r="L12" s="124" t="s">
        <v>184</v>
      </c>
      <c r="M12" s="147" t="s">
        <v>223</v>
      </c>
      <c r="N12" s="230">
        <v>27</v>
      </c>
      <c r="O12" s="142" t="s">
        <v>183</v>
      </c>
      <c r="P12" s="124">
        <v>4</v>
      </c>
      <c r="Q12" s="129">
        <f t="shared" si="3"/>
        <v>48</v>
      </c>
      <c r="R12" s="129">
        <f t="shared" si="4"/>
        <v>60</v>
      </c>
      <c r="S12" s="158" t="s">
        <v>158</v>
      </c>
    </row>
    <row r="13" spans="1:19" ht="30">
      <c r="A13" s="113">
        <v>46239</v>
      </c>
      <c r="B13" s="13" t="s">
        <v>69</v>
      </c>
      <c r="C13" s="171">
        <f t="shared" ref="C13:C16" si="5">C12+1</f>
        <v>9</v>
      </c>
      <c r="D13" s="169" t="s">
        <v>248</v>
      </c>
      <c r="E13" s="163"/>
      <c r="F13" s="135" t="s">
        <v>226</v>
      </c>
      <c r="G13" s="155"/>
      <c r="H13" s="174" t="s">
        <v>262</v>
      </c>
      <c r="I13" s="12"/>
      <c r="J13" s="163"/>
      <c r="L13" s="124" t="s">
        <v>188</v>
      </c>
      <c r="M13" s="147" t="s">
        <v>214</v>
      </c>
      <c r="N13" s="230">
        <v>34</v>
      </c>
      <c r="O13" s="142" t="s">
        <v>187</v>
      </c>
      <c r="P13" s="124">
        <v>4</v>
      </c>
      <c r="Q13" s="129">
        <f t="shared" si="3"/>
        <v>48</v>
      </c>
      <c r="R13" s="129">
        <f t="shared" si="4"/>
        <v>60</v>
      </c>
      <c r="S13" s="243" t="s">
        <v>281</v>
      </c>
    </row>
    <row r="14" spans="1:19" ht="30">
      <c r="A14" s="113">
        <v>46240</v>
      </c>
      <c r="B14" s="13" t="s">
        <v>70</v>
      </c>
      <c r="C14" s="171">
        <f t="shared" si="5"/>
        <v>10</v>
      </c>
      <c r="D14" s="148"/>
      <c r="E14" s="148" t="s">
        <v>268</v>
      </c>
      <c r="F14" s="163"/>
      <c r="G14" s="155"/>
      <c r="H14" s="135" t="s">
        <v>212</v>
      </c>
      <c r="I14" s="140"/>
      <c r="J14" s="135" t="s">
        <v>262</v>
      </c>
      <c r="L14" s="124" t="s">
        <v>190</v>
      </c>
      <c r="M14" s="147" t="s">
        <v>215</v>
      </c>
      <c r="N14" s="230">
        <v>27</v>
      </c>
      <c r="O14" s="142" t="s">
        <v>189</v>
      </c>
      <c r="P14" s="124">
        <v>4</v>
      </c>
      <c r="Q14" s="129">
        <f t="shared" si="3"/>
        <v>48</v>
      </c>
      <c r="R14" s="129">
        <f t="shared" si="4"/>
        <v>60</v>
      </c>
      <c r="S14" s="225" t="s">
        <v>270</v>
      </c>
    </row>
    <row r="15" spans="1:19" ht="30">
      <c r="A15" s="113">
        <v>46241</v>
      </c>
      <c r="B15" s="13" t="s">
        <v>71</v>
      </c>
      <c r="C15" s="171">
        <f t="shared" si="5"/>
        <v>11</v>
      </c>
      <c r="D15" s="148" t="s">
        <v>268</v>
      </c>
      <c r="E15" s="163"/>
      <c r="F15" s="169" t="s">
        <v>248</v>
      </c>
      <c r="G15" s="155"/>
      <c r="H15" s="135" t="s">
        <v>77</v>
      </c>
      <c r="I15" s="174" t="s">
        <v>271</v>
      </c>
      <c r="J15" s="163"/>
      <c r="L15" s="124" t="s">
        <v>161</v>
      </c>
      <c r="M15" s="147" t="s">
        <v>224</v>
      </c>
      <c r="N15" s="230">
        <v>29</v>
      </c>
      <c r="O15" s="142" t="s">
        <v>160</v>
      </c>
      <c r="P15" s="124">
        <v>4</v>
      </c>
      <c r="Q15" s="129">
        <f t="shared" si="3"/>
        <v>48</v>
      </c>
      <c r="R15" s="129">
        <f t="shared" si="4"/>
        <v>60</v>
      </c>
      <c r="S15" s="243" t="s">
        <v>282</v>
      </c>
    </row>
    <row r="16" spans="1:19">
      <c r="A16" s="113">
        <v>46242</v>
      </c>
      <c r="B16" s="13" t="s">
        <v>72</v>
      </c>
      <c r="C16" s="171">
        <f t="shared" si="5"/>
        <v>12</v>
      </c>
      <c r="D16" s="10"/>
      <c r="E16" s="10"/>
      <c r="F16" s="13"/>
      <c r="G16" s="14"/>
      <c r="H16" s="13" t="s">
        <v>249</v>
      </c>
      <c r="I16" s="13" t="s">
        <v>249</v>
      </c>
      <c r="J16" s="109"/>
      <c r="L16" s="124" t="s">
        <v>165</v>
      </c>
      <c r="M16" s="147" t="s">
        <v>216</v>
      </c>
      <c r="N16" s="230">
        <v>33</v>
      </c>
      <c r="O16" s="142" t="s">
        <v>164</v>
      </c>
      <c r="P16" s="124">
        <v>4</v>
      </c>
      <c r="Q16" s="129">
        <f t="shared" si="3"/>
        <v>48</v>
      </c>
      <c r="R16" s="129">
        <f t="shared" si="4"/>
        <v>60</v>
      </c>
      <c r="S16" s="151" t="s">
        <v>227</v>
      </c>
    </row>
    <row r="17" spans="1:19">
      <c r="A17" s="113">
        <v>46243</v>
      </c>
      <c r="B17" s="13" t="s">
        <v>73</v>
      </c>
      <c r="C17" s="171"/>
      <c r="D17" s="175"/>
      <c r="E17" s="176"/>
      <c r="F17" s="175"/>
      <c r="G17" s="177"/>
      <c r="H17" s="178"/>
      <c r="I17" s="179"/>
      <c r="J17" s="175"/>
      <c r="L17" s="124" t="s">
        <v>169</v>
      </c>
      <c r="M17" s="147" t="s">
        <v>217</v>
      </c>
      <c r="N17" s="230">
        <v>34</v>
      </c>
      <c r="O17" s="142" t="s">
        <v>168</v>
      </c>
      <c r="P17" s="124">
        <v>4</v>
      </c>
      <c r="Q17" s="129">
        <f t="shared" si="3"/>
        <v>48</v>
      </c>
      <c r="R17" s="129">
        <f t="shared" si="4"/>
        <v>60</v>
      </c>
      <c r="S17" s="160" t="s">
        <v>238</v>
      </c>
    </row>
    <row r="18" spans="1:19">
      <c r="A18" s="113">
        <v>46244</v>
      </c>
      <c r="B18" s="13" t="s">
        <v>67</v>
      </c>
      <c r="C18" s="171">
        <f>C16+1</f>
        <v>13</v>
      </c>
      <c r="D18" s="135" t="s">
        <v>226</v>
      </c>
      <c r="E18" s="162"/>
      <c r="F18" s="148" t="s">
        <v>212</v>
      </c>
      <c r="G18" s="155"/>
      <c r="H18" s="163"/>
      <c r="I18" s="135" t="s">
        <v>77</v>
      </c>
      <c r="J18" s="164"/>
      <c r="L18" s="124" t="s">
        <v>177</v>
      </c>
      <c r="M18" s="147" t="s">
        <v>199</v>
      </c>
      <c r="N18" s="230">
        <v>34</v>
      </c>
      <c r="O18" s="142" t="s">
        <v>176</v>
      </c>
      <c r="P18" s="124">
        <v>4</v>
      </c>
      <c r="Q18" s="129">
        <f t="shared" si="3"/>
        <v>48</v>
      </c>
      <c r="R18" s="129">
        <f t="shared" si="4"/>
        <v>60</v>
      </c>
      <c r="S18" s="161" t="s">
        <v>228</v>
      </c>
    </row>
    <row r="19" spans="1:19" ht="30">
      <c r="A19" s="113">
        <v>46245</v>
      </c>
      <c r="B19" s="13" t="s">
        <v>68</v>
      </c>
      <c r="C19" s="171">
        <f>C18+1</f>
        <v>14</v>
      </c>
      <c r="D19" s="250" t="s">
        <v>214</v>
      </c>
      <c r="E19" s="246" t="s">
        <v>298</v>
      </c>
      <c r="F19" s="248" t="s">
        <v>300</v>
      </c>
      <c r="G19" s="155"/>
      <c r="H19" s="154" t="s">
        <v>212</v>
      </c>
      <c r="I19" s="148" t="s">
        <v>268</v>
      </c>
      <c r="J19" s="135" t="s">
        <v>297</v>
      </c>
      <c r="K19" s="28" t="s">
        <v>301</v>
      </c>
      <c r="L19" s="124" t="s">
        <v>182</v>
      </c>
      <c r="M19" s="147" t="s">
        <v>218</v>
      </c>
      <c r="N19" s="230">
        <v>34</v>
      </c>
      <c r="O19" s="142" t="s">
        <v>181</v>
      </c>
      <c r="P19" s="124">
        <v>4</v>
      </c>
      <c r="Q19" s="129">
        <f t="shared" si="3"/>
        <v>48</v>
      </c>
      <c r="R19" s="129">
        <f t="shared" si="4"/>
        <v>60</v>
      </c>
      <c r="S19" s="159" t="s">
        <v>75</v>
      </c>
    </row>
    <row r="20" spans="1:19" ht="30">
      <c r="A20" s="113">
        <v>46246</v>
      </c>
      <c r="B20" s="13" t="s">
        <v>69</v>
      </c>
      <c r="C20" s="171">
        <f t="shared" ref="C20:C22" si="6">C19+1</f>
        <v>15</v>
      </c>
      <c r="D20" s="135" t="s">
        <v>248</v>
      </c>
      <c r="E20" s="163"/>
      <c r="F20" s="135" t="s">
        <v>226</v>
      </c>
      <c r="G20" s="155"/>
      <c r="H20" s="135" t="s">
        <v>262</v>
      </c>
      <c r="I20" s="148" t="s">
        <v>77</v>
      </c>
      <c r="J20" s="250" t="s">
        <v>214</v>
      </c>
      <c r="L20" s="124" t="s">
        <v>186</v>
      </c>
      <c r="M20" s="147" t="s">
        <v>225</v>
      </c>
      <c r="N20" s="230">
        <v>30</v>
      </c>
      <c r="O20" s="142" t="s">
        <v>185</v>
      </c>
      <c r="P20" s="124">
        <v>4</v>
      </c>
      <c r="Q20" s="129">
        <f t="shared" si="3"/>
        <v>48</v>
      </c>
      <c r="R20" s="129">
        <f t="shared" si="4"/>
        <v>60</v>
      </c>
      <c r="S20" s="152" t="s">
        <v>158</v>
      </c>
    </row>
    <row r="21" spans="1:19" ht="30">
      <c r="A21" s="113">
        <v>46247</v>
      </c>
      <c r="B21" s="13" t="s">
        <v>70</v>
      </c>
      <c r="C21" s="171">
        <f t="shared" si="6"/>
        <v>16</v>
      </c>
      <c r="D21" s="250" t="s">
        <v>299</v>
      </c>
      <c r="E21" s="148" t="s">
        <v>268</v>
      </c>
      <c r="F21" s="163"/>
      <c r="G21" s="155"/>
      <c r="H21" s="135" t="s">
        <v>212</v>
      </c>
      <c r="I21" s="248" t="s">
        <v>300</v>
      </c>
      <c r="J21" s="135" t="s">
        <v>262</v>
      </c>
      <c r="K21" s="28" t="s">
        <v>302</v>
      </c>
      <c r="L21" s="124" t="s">
        <v>192</v>
      </c>
      <c r="M21" s="147" t="s">
        <v>219</v>
      </c>
      <c r="N21" s="147">
        <v>32</v>
      </c>
      <c r="O21" s="122" t="s">
        <v>191</v>
      </c>
      <c r="P21" s="124">
        <v>4</v>
      </c>
      <c r="Q21" s="129">
        <f t="shared" si="3"/>
        <v>48</v>
      </c>
      <c r="R21" s="129">
        <f t="shared" si="4"/>
        <v>60</v>
      </c>
      <c r="S21" s="153" t="s">
        <v>229</v>
      </c>
    </row>
    <row r="22" spans="1:19" ht="30">
      <c r="A22" s="113">
        <v>46248</v>
      </c>
      <c r="B22" s="13" t="s">
        <v>71</v>
      </c>
      <c r="C22" s="171">
        <f t="shared" si="6"/>
        <v>17</v>
      </c>
      <c r="D22" s="148" t="s">
        <v>268</v>
      </c>
      <c r="E22" s="163"/>
      <c r="F22" s="156" t="s">
        <v>248</v>
      </c>
      <c r="G22" s="155"/>
      <c r="H22" s="135" t="s">
        <v>77</v>
      </c>
      <c r="I22" s="135" t="s">
        <v>297</v>
      </c>
      <c r="J22" s="250" t="s">
        <v>214</v>
      </c>
      <c r="L22" s="4"/>
      <c r="M22" s="4" t="s">
        <v>300</v>
      </c>
      <c r="N22" s="4"/>
      <c r="O22" s="234" t="s">
        <v>239</v>
      </c>
      <c r="P22" s="7">
        <v>3</v>
      </c>
      <c r="Q22" s="7">
        <f t="shared" si="3"/>
        <v>36</v>
      </c>
      <c r="R22" s="7">
        <f t="shared" si="4"/>
        <v>45</v>
      </c>
      <c r="S22" s="249" t="s">
        <v>280</v>
      </c>
    </row>
    <row r="23" spans="1:19">
      <c r="A23" s="113">
        <v>46249</v>
      </c>
      <c r="B23" s="13" t="s">
        <v>72</v>
      </c>
      <c r="C23" s="227" t="s">
        <v>23</v>
      </c>
      <c r="D23" s="10"/>
      <c r="E23" s="10"/>
      <c r="F23" s="13"/>
      <c r="G23" s="14"/>
      <c r="H23" s="13"/>
      <c r="I23" s="13"/>
      <c r="J23" s="109"/>
      <c r="L23" s="147"/>
      <c r="M23" s="147"/>
      <c r="N23" s="147"/>
      <c r="O23" s="122" t="s">
        <v>236</v>
      </c>
      <c r="P23" s="129">
        <v>3</v>
      </c>
      <c r="Q23" s="129">
        <f>R23/1.25</f>
        <v>36</v>
      </c>
      <c r="R23" s="129">
        <f>P23*15</f>
        <v>45</v>
      </c>
      <c r="S23" s="138" t="s">
        <v>237</v>
      </c>
    </row>
    <row r="24" spans="1:19" hidden="1">
      <c r="A24" s="113">
        <v>46250</v>
      </c>
      <c r="B24" s="13" t="s">
        <v>73</v>
      </c>
      <c r="C24" s="227"/>
      <c r="D24" s="175"/>
      <c r="E24" s="176"/>
      <c r="F24" s="175"/>
      <c r="G24" s="177"/>
      <c r="H24" s="178"/>
      <c r="I24" s="179"/>
      <c r="J24" s="175"/>
    </row>
    <row r="25" spans="1:19" hidden="1">
      <c r="A25" s="113">
        <v>46251</v>
      </c>
      <c r="B25" s="13" t="s">
        <v>67</v>
      </c>
      <c r="C25" s="227">
        <f>C22+1</f>
        <v>18</v>
      </c>
      <c r="D25" s="217" t="s">
        <v>226</v>
      </c>
      <c r="E25" s="218"/>
      <c r="F25" s="219" t="s">
        <v>212</v>
      </c>
      <c r="G25" s="220"/>
      <c r="H25" s="221"/>
      <c r="I25" s="212" t="s">
        <v>77</v>
      </c>
      <c r="J25" s="222"/>
      <c r="O25" s="28"/>
    </row>
    <row r="26" spans="1:19" ht="30" hidden="1">
      <c r="A26" s="113">
        <v>46252</v>
      </c>
      <c r="B26" s="13" t="s">
        <v>68</v>
      </c>
      <c r="C26" s="227">
        <f>C25+1</f>
        <v>19</v>
      </c>
      <c r="D26" s="245" t="s">
        <v>214</v>
      </c>
      <c r="E26" s="246" t="s">
        <v>298</v>
      </c>
      <c r="F26" s="248" t="s">
        <v>300</v>
      </c>
      <c r="G26" s="155"/>
      <c r="H26" s="154" t="s">
        <v>212</v>
      </c>
      <c r="I26" s="148" t="s">
        <v>268</v>
      </c>
      <c r="J26" s="224" t="s">
        <v>297</v>
      </c>
      <c r="K26" s="28" t="s">
        <v>301</v>
      </c>
      <c r="O26" s="28"/>
    </row>
    <row r="27" spans="1:19" ht="30" hidden="1">
      <c r="A27" s="113">
        <v>46253</v>
      </c>
      <c r="B27" s="13" t="s">
        <v>69</v>
      </c>
      <c r="C27" s="227">
        <f t="shared" ref="C27:C30" si="7">C26+1</f>
        <v>20</v>
      </c>
      <c r="D27" s="244" t="s">
        <v>248</v>
      </c>
      <c r="E27" s="163"/>
      <c r="F27" s="135" t="s">
        <v>226</v>
      </c>
      <c r="G27" s="155"/>
      <c r="H27" s="135" t="s">
        <v>262</v>
      </c>
      <c r="I27" s="148" t="s">
        <v>77</v>
      </c>
      <c r="J27" s="247" t="s">
        <v>214</v>
      </c>
      <c r="O27" s="28"/>
    </row>
    <row r="28" spans="1:19" ht="30" hidden="1">
      <c r="A28" s="113">
        <v>46254</v>
      </c>
      <c r="B28" s="13" t="s">
        <v>70</v>
      </c>
      <c r="C28" s="227">
        <f t="shared" si="7"/>
        <v>21</v>
      </c>
      <c r="D28" s="245" t="s">
        <v>299</v>
      </c>
      <c r="E28" s="148" t="s">
        <v>268</v>
      </c>
      <c r="F28" s="163"/>
      <c r="G28" s="155"/>
      <c r="H28" s="135" t="s">
        <v>212</v>
      </c>
      <c r="I28" s="248" t="s">
        <v>300</v>
      </c>
      <c r="J28" s="224" t="s">
        <v>262</v>
      </c>
      <c r="K28" s="28" t="s">
        <v>302</v>
      </c>
      <c r="M28" s="3" t="s">
        <v>80</v>
      </c>
      <c r="O28" s="28"/>
    </row>
    <row r="29" spans="1:19" ht="30" hidden="1">
      <c r="A29" s="113">
        <v>46255</v>
      </c>
      <c r="B29" s="13" t="s">
        <v>71</v>
      </c>
      <c r="C29" s="227">
        <f t="shared" si="7"/>
        <v>22</v>
      </c>
      <c r="D29" s="223" t="s">
        <v>268</v>
      </c>
      <c r="E29" s="163"/>
      <c r="F29" s="156" t="s">
        <v>248</v>
      </c>
      <c r="G29" s="155"/>
      <c r="H29" s="135" t="s">
        <v>77</v>
      </c>
      <c r="I29" s="135" t="s">
        <v>297</v>
      </c>
      <c r="J29" s="247" t="s">
        <v>214</v>
      </c>
      <c r="O29" s="28"/>
    </row>
    <row r="30" spans="1:19" ht="15.75" hidden="1" thickBot="1">
      <c r="A30" s="113">
        <v>46256</v>
      </c>
      <c r="B30" s="13" t="s">
        <v>72</v>
      </c>
      <c r="C30" s="227">
        <f t="shared" si="7"/>
        <v>23</v>
      </c>
      <c r="D30" s="194"/>
      <c r="E30" s="213"/>
      <c r="F30" s="196"/>
      <c r="G30" s="197"/>
      <c r="H30" s="196" t="s">
        <v>218</v>
      </c>
      <c r="I30" s="196" t="s">
        <v>218</v>
      </c>
      <c r="J30" s="215"/>
      <c r="O30" s="28"/>
    </row>
    <row r="31" spans="1:19" hidden="1">
      <c r="A31" s="262">
        <v>46257</v>
      </c>
      <c r="B31" s="175" t="s">
        <v>73</v>
      </c>
      <c r="C31" s="269"/>
      <c r="D31" s="255"/>
      <c r="E31" s="256"/>
      <c r="F31" s="255"/>
      <c r="G31" s="257"/>
      <c r="H31" s="258"/>
      <c r="I31" s="261"/>
      <c r="J31" s="255"/>
      <c r="O31" s="28"/>
    </row>
    <row r="32" spans="1:19" hidden="1">
      <c r="A32" s="266">
        <v>46258</v>
      </c>
      <c r="B32" s="185" t="s">
        <v>67</v>
      </c>
      <c r="C32" s="271">
        <f>C29+1</f>
        <v>23</v>
      </c>
      <c r="D32" s="212" t="s">
        <v>226</v>
      </c>
      <c r="E32" s="218"/>
      <c r="F32" s="219" t="s">
        <v>212</v>
      </c>
      <c r="G32" s="220"/>
      <c r="H32" s="221"/>
      <c r="I32" s="212" t="s">
        <v>77</v>
      </c>
      <c r="J32" s="222"/>
      <c r="O32" s="28"/>
    </row>
    <row r="33" spans="1:19" ht="30" hidden="1">
      <c r="A33" s="267">
        <v>46259</v>
      </c>
      <c r="B33" s="13" t="s">
        <v>68</v>
      </c>
      <c r="C33" s="227">
        <f>C32+1</f>
        <v>24</v>
      </c>
      <c r="D33" s="250" t="s">
        <v>214</v>
      </c>
      <c r="E33" s="246" t="s">
        <v>298</v>
      </c>
      <c r="F33" s="248" t="s">
        <v>300</v>
      </c>
      <c r="G33" s="155"/>
      <c r="H33" s="154" t="s">
        <v>212</v>
      </c>
      <c r="I33" s="148" t="s">
        <v>268</v>
      </c>
      <c r="J33" s="224" t="s">
        <v>297</v>
      </c>
      <c r="K33" s="28" t="s">
        <v>301</v>
      </c>
      <c r="O33" s="28"/>
    </row>
    <row r="34" spans="1:19" ht="30" hidden="1">
      <c r="A34" s="267">
        <v>46260</v>
      </c>
      <c r="B34" s="13" t="s">
        <v>69</v>
      </c>
      <c r="C34" s="227">
        <f t="shared" ref="C34:C35" si="8">C33+1</f>
        <v>25</v>
      </c>
      <c r="D34" s="135" t="s">
        <v>248</v>
      </c>
      <c r="E34" s="163"/>
      <c r="F34" s="135" t="s">
        <v>226</v>
      </c>
      <c r="G34" s="155"/>
      <c r="H34" s="135" t="s">
        <v>262</v>
      </c>
      <c r="I34" s="148" t="s">
        <v>77</v>
      </c>
      <c r="J34" s="247" t="s">
        <v>214</v>
      </c>
      <c r="O34" s="28"/>
    </row>
    <row r="35" spans="1:19" ht="30" hidden="1">
      <c r="A35" s="267">
        <v>46261</v>
      </c>
      <c r="B35" s="13" t="s">
        <v>70</v>
      </c>
      <c r="C35" s="227">
        <f t="shared" si="8"/>
        <v>26</v>
      </c>
      <c r="D35" s="250" t="s">
        <v>299</v>
      </c>
      <c r="E35" s="148" t="s">
        <v>268</v>
      </c>
      <c r="F35" s="163"/>
      <c r="G35" s="155"/>
      <c r="H35" s="135" t="s">
        <v>212</v>
      </c>
      <c r="I35" s="248" t="s">
        <v>300</v>
      </c>
      <c r="J35" s="224" t="s">
        <v>262</v>
      </c>
      <c r="K35" s="28" t="s">
        <v>302</v>
      </c>
      <c r="O35" s="28"/>
    </row>
    <row r="36" spans="1:19" hidden="1">
      <c r="A36" s="267">
        <v>46262</v>
      </c>
      <c r="B36" s="13" t="s">
        <v>71</v>
      </c>
      <c r="C36" s="227" t="s">
        <v>22</v>
      </c>
      <c r="D36" s="148"/>
      <c r="E36" s="163"/>
      <c r="F36" s="156"/>
      <c r="G36" s="155"/>
      <c r="H36" s="135"/>
      <c r="I36" s="135"/>
      <c r="J36" s="247"/>
      <c r="O36" s="28"/>
    </row>
    <row r="37" spans="1:19" ht="15.75" hidden="1" thickBot="1">
      <c r="A37" s="268">
        <v>46263</v>
      </c>
      <c r="B37" s="196" t="s">
        <v>72</v>
      </c>
      <c r="C37" s="272">
        <f>C35+1</f>
        <v>27</v>
      </c>
      <c r="D37" s="213"/>
      <c r="E37" s="213"/>
      <c r="F37" s="196"/>
      <c r="G37" s="197"/>
      <c r="H37" s="196" t="s">
        <v>218</v>
      </c>
      <c r="I37" s="196" t="s">
        <v>218</v>
      </c>
      <c r="J37" s="215"/>
      <c r="O37" s="28"/>
    </row>
    <row r="38" spans="1:19">
      <c r="A38" s="264">
        <v>46264</v>
      </c>
      <c r="B38" s="181" t="s">
        <v>73</v>
      </c>
      <c r="C38" s="270"/>
      <c r="D38" s="255"/>
      <c r="E38" s="256"/>
      <c r="F38" s="255"/>
      <c r="G38" s="257"/>
      <c r="H38" s="258"/>
      <c r="I38" s="261"/>
      <c r="J38" s="255"/>
      <c r="O38" s="28"/>
    </row>
    <row r="39" spans="1:19">
      <c r="A39" s="113">
        <v>46265</v>
      </c>
      <c r="B39" s="13" t="s">
        <v>67</v>
      </c>
      <c r="C39" s="227">
        <f>C37+1</f>
        <v>28</v>
      </c>
      <c r="D39" s="135" t="s">
        <v>226</v>
      </c>
      <c r="E39" s="162"/>
      <c r="F39" s="148" t="s">
        <v>212</v>
      </c>
      <c r="G39" s="155"/>
      <c r="H39" s="163"/>
      <c r="I39" s="135" t="s">
        <v>77</v>
      </c>
      <c r="J39" s="164"/>
      <c r="O39" s="28"/>
    </row>
    <row r="40" spans="1:19" ht="30">
      <c r="A40" s="113">
        <v>46266</v>
      </c>
      <c r="B40" s="13" t="s">
        <v>68</v>
      </c>
      <c r="C40" s="227">
        <f>C39+1</f>
        <v>29</v>
      </c>
      <c r="D40" s="250" t="s">
        <v>214</v>
      </c>
      <c r="E40" s="246" t="s">
        <v>298</v>
      </c>
      <c r="F40" s="248" t="s">
        <v>300</v>
      </c>
      <c r="G40" s="155"/>
      <c r="H40" s="154" t="s">
        <v>212</v>
      </c>
      <c r="I40" s="148" t="s">
        <v>268</v>
      </c>
      <c r="J40" s="135" t="s">
        <v>297</v>
      </c>
      <c r="K40" s="28" t="s">
        <v>301</v>
      </c>
      <c r="O40" s="28"/>
    </row>
    <row r="41" spans="1:19" ht="30">
      <c r="A41" s="113">
        <v>46267</v>
      </c>
      <c r="B41" s="13" t="s">
        <v>69</v>
      </c>
      <c r="C41" s="227">
        <f t="shared" ref="C41:C42" si="9">C40+1</f>
        <v>30</v>
      </c>
      <c r="D41" s="135" t="s">
        <v>248</v>
      </c>
      <c r="E41" s="163"/>
      <c r="F41" s="135" t="s">
        <v>226</v>
      </c>
      <c r="G41" s="155"/>
      <c r="H41" s="135" t="s">
        <v>262</v>
      </c>
      <c r="I41" s="148" t="s">
        <v>77</v>
      </c>
      <c r="J41" s="250" t="s">
        <v>214</v>
      </c>
      <c r="O41" s="28"/>
    </row>
    <row r="42" spans="1:19" ht="30">
      <c r="A42" s="113">
        <v>46268</v>
      </c>
      <c r="B42" s="13" t="s">
        <v>70</v>
      </c>
      <c r="C42" s="227">
        <f t="shared" si="9"/>
        <v>31</v>
      </c>
      <c r="D42" s="250" t="s">
        <v>299</v>
      </c>
      <c r="E42" s="148" t="s">
        <v>268</v>
      </c>
      <c r="F42" s="163"/>
      <c r="G42" s="155"/>
      <c r="H42" s="135" t="s">
        <v>212</v>
      </c>
      <c r="I42" s="248" t="s">
        <v>300</v>
      </c>
      <c r="J42" s="135" t="s">
        <v>262</v>
      </c>
      <c r="K42" s="28" t="s">
        <v>302</v>
      </c>
      <c r="O42" s="28"/>
    </row>
    <row r="43" spans="1:19">
      <c r="A43" s="113">
        <v>46269</v>
      </c>
      <c r="B43" s="13" t="s">
        <v>71</v>
      </c>
      <c r="C43" s="227" t="s">
        <v>81</v>
      </c>
      <c r="D43" s="148"/>
      <c r="E43" s="163"/>
      <c r="F43" s="156"/>
      <c r="G43" s="155"/>
      <c r="H43" s="135"/>
      <c r="I43" s="135"/>
      <c r="J43" s="250"/>
      <c r="O43" s="28"/>
    </row>
    <row r="44" spans="1:19">
      <c r="A44" s="113">
        <v>46270</v>
      </c>
      <c r="B44" s="13" t="s">
        <v>72</v>
      </c>
      <c r="C44" s="228">
        <f>C42+1</f>
        <v>32</v>
      </c>
      <c r="D44" s="10"/>
      <c r="E44" s="10"/>
      <c r="F44" s="13"/>
      <c r="G44" s="14"/>
      <c r="H44" s="13" t="s">
        <v>218</v>
      </c>
      <c r="I44" s="13" t="s">
        <v>218</v>
      </c>
      <c r="J44" s="109"/>
      <c r="O44" s="28"/>
    </row>
    <row r="45" spans="1:19">
      <c r="A45" s="113">
        <v>46271</v>
      </c>
      <c r="B45" s="13" t="s">
        <v>73</v>
      </c>
      <c r="C45" s="227"/>
      <c r="D45" s="13"/>
      <c r="E45" s="12"/>
      <c r="F45" s="13"/>
      <c r="G45" s="15"/>
      <c r="H45" s="109"/>
      <c r="I45" s="10"/>
      <c r="J45" s="13"/>
    </row>
    <row r="46" spans="1:19">
      <c r="A46" s="113">
        <v>46272</v>
      </c>
      <c r="B46" s="13" t="s">
        <v>67</v>
      </c>
      <c r="C46" s="227">
        <f>C44+1</f>
        <v>33</v>
      </c>
      <c r="D46" s="135" t="s">
        <v>226</v>
      </c>
      <c r="E46" s="162"/>
      <c r="F46" s="148" t="s">
        <v>212</v>
      </c>
      <c r="G46" s="155"/>
      <c r="H46" s="163"/>
      <c r="I46" s="135" t="s">
        <v>77</v>
      </c>
      <c r="J46" s="164"/>
    </row>
    <row r="47" spans="1:19" ht="30">
      <c r="A47" s="113">
        <v>46273</v>
      </c>
      <c r="B47" s="13" t="s">
        <v>68</v>
      </c>
      <c r="C47" s="227">
        <f>C46+1</f>
        <v>34</v>
      </c>
      <c r="D47" s="250" t="s">
        <v>214</v>
      </c>
      <c r="E47" s="246" t="s">
        <v>298</v>
      </c>
      <c r="F47" s="248" t="s">
        <v>300</v>
      </c>
      <c r="G47" s="155"/>
      <c r="H47" s="154" t="s">
        <v>212</v>
      </c>
      <c r="I47" s="148" t="s">
        <v>268</v>
      </c>
      <c r="J47" s="135" t="s">
        <v>297</v>
      </c>
      <c r="K47" s="28" t="s">
        <v>301</v>
      </c>
      <c r="O47" s="28"/>
      <c r="S47" s="1"/>
    </row>
    <row r="48" spans="1:19" ht="30">
      <c r="A48" s="113">
        <v>46274</v>
      </c>
      <c r="B48" s="13" t="s">
        <v>69</v>
      </c>
      <c r="C48" s="227">
        <f t="shared" ref="C48:C51" si="10">C47+1</f>
        <v>35</v>
      </c>
      <c r="D48" s="135" t="s">
        <v>248</v>
      </c>
      <c r="E48" s="163"/>
      <c r="F48" s="135" t="s">
        <v>226</v>
      </c>
      <c r="G48" s="155"/>
      <c r="H48" s="135" t="s">
        <v>262</v>
      </c>
      <c r="I48" s="148" t="s">
        <v>77</v>
      </c>
      <c r="J48" s="250" t="s">
        <v>214</v>
      </c>
      <c r="O48" s="28"/>
      <c r="S48" s="1"/>
    </row>
    <row r="49" spans="1:19" ht="30">
      <c r="A49" s="113">
        <v>46275</v>
      </c>
      <c r="B49" s="13" t="s">
        <v>70</v>
      </c>
      <c r="C49" s="227">
        <f t="shared" si="10"/>
        <v>36</v>
      </c>
      <c r="D49" s="250" t="s">
        <v>299</v>
      </c>
      <c r="E49" s="148" t="s">
        <v>268</v>
      </c>
      <c r="F49" s="163"/>
      <c r="G49" s="155"/>
      <c r="H49" s="135" t="s">
        <v>212</v>
      </c>
      <c r="I49" s="248" t="s">
        <v>300</v>
      </c>
      <c r="J49" s="135" t="s">
        <v>262</v>
      </c>
      <c r="K49" s="28" t="s">
        <v>302</v>
      </c>
      <c r="O49" s="28"/>
      <c r="S49" s="1"/>
    </row>
    <row r="50" spans="1:19" ht="30">
      <c r="A50" s="113">
        <v>46276</v>
      </c>
      <c r="B50" s="13" t="s">
        <v>71</v>
      </c>
      <c r="C50" s="227">
        <f t="shared" si="10"/>
        <v>37</v>
      </c>
      <c r="D50" s="148" t="s">
        <v>268</v>
      </c>
      <c r="E50" s="163"/>
      <c r="F50" s="156" t="s">
        <v>248</v>
      </c>
      <c r="G50" s="155"/>
      <c r="H50" s="135" t="s">
        <v>77</v>
      </c>
      <c r="I50" s="135" t="s">
        <v>297</v>
      </c>
      <c r="J50" s="247" t="s">
        <v>214</v>
      </c>
      <c r="O50" s="28"/>
      <c r="S50" s="1"/>
    </row>
    <row r="51" spans="1:19" ht="15.75" thickBot="1">
      <c r="A51" s="113">
        <v>46277</v>
      </c>
      <c r="B51" s="13" t="s">
        <v>72</v>
      </c>
      <c r="C51" s="227">
        <f t="shared" si="10"/>
        <v>38</v>
      </c>
      <c r="D51" s="213"/>
      <c r="E51" s="213"/>
      <c r="F51" s="196"/>
      <c r="G51" s="197"/>
      <c r="H51" s="196" t="s">
        <v>218</v>
      </c>
      <c r="I51" s="196" t="s">
        <v>218</v>
      </c>
      <c r="J51" s="215"/>
      <c r="O51" s="28"/>
      <c r="S51" s="1"/>
    </row>
    <row r="52" spans="1:19">
      <c r="A52" s="113">
        <v>46278</v>
      </c>
      <c r="B52" s="13" t="s">
        <v>73</v>
      </c>
      <c r="C52" s="227"/>
      <c r="D52" s="13"/>
      <c r="E52" s="12"/>
      <c r="F52" s="13"/>
      <c r="G52" s="15"/>
      <c r="H52" s="109"/>
      <c r="I52" s="10"/>
      <c r="J52" s="13"/>
      <c r="L52" s="1"/>
      <c r="M52" s="1"/>
      <c r="N52" s="1"/>
      <c r="S52" s="1"/>
    </row>
  </sheetData>
  <mergeCells count="2">
    <mergeCell ref="A1:J1"/>
    <mergeCell ref="A2:J2"/>
  </mergeCells>
  <phoneticPr fontId="1" type="noConversion"/>
  <conditionalFormatting sqref="B1:B2">
    <cfRule type="cellIs" dxfId="11" priority="4" operator="equal">
      <formula>"Sat"</formula>
    </cfRule>
  </conditionalFormatting>
  <conditionalFormatting sqref="B4:B52">
    <cfRule type="containsText" dxfId="10" priority="1" operator="containsText" text="Sun">
      <formula>NOT(ISERROR(SEARCH("Sun",B4)))</formula>
    </cfRule>
  </conditionalFormatting>
  <conditionalFormatting sqref="B60:B1048576">
    <cfRule type="cellIs" dxfId="9" priority="2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925E-F304-4EEE-9653-C3C131FEB514}">
  <dimension ref="A1:R52"/>
  <sheetViews>
    <sheetView zoomScale="90" zoomScaleNormal="9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S1" sqref="S1:V1048576"/>
    </sheetView>
  </sheetViews>
  <sheetFormatPr defaultRowHeight="15"/>
  <cols>
    <col min="1" max="1" width="10.140625" style="103" bestFit="1" customWidth="1"/>
    <col min="2" max="2" width="10.85546875" style="104" customWidth="1"/>
    <col min="3" max="3" width="14.5703125" style="104" bestFit="1" customWidth="1"/>
    <col min="4" max="4" width="13.28515625" style="101" bestFit="1" customWidth="1"/>
    <col min="5" max="5" width="11.85546875" style="101" bestFit="1" customWidth="1"/>
    <col min="6" max="6" width="16.7109375" style="101" bestFit="1" customWidth="1"/>
    <col min="7" max="7" width="11.85546875" style="101" bestFit="1" customWidth="1"/>
    <col min="8" max="8" width="16.42578125" style="101" customWidth="1"/>
    <col min="9" max="9" width="16.42578125" style="101" bestFit="1" customWidth="1"/>
    <col min="10" max="10" width="11.85546875" style="101" bestFit="1" customWidth="1"/>
    <col min="11" max="11" width="15.5703125" style="5" customWidth="1"/>
    <col min="12" max="12" width="13.42578125" style="3" bestFit="1" customWidth="1"/>
    <col min="13" max="13" width="9.42578125" style="3" bestFit="1" customWidth="1"/>
    <col min="14" max="14" width="48.28515625" style="5" bestFit="1" customWidth="1"/>
    <col min="15" max="15" width="7" style="1" bestFit="1" customWidth="1"/>
    <col min="16" max="16" width="9.140625" style="5" bestFit="1" customWidth="1"/>
    <col min="17" max="17" width="5.5703125" style="5" bestFit="1" customWidth="1"/>
    <col min="18" max="18" width="25.85546875" style="5" bestFit="1" customWidth="1"/>
    <col min="19" max="16384" width="9.140625" style="5"/>
  </cols>
  <sheetData>
    <row r="1" spans="1:18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  <c r="K1" s="2"/>
    </row>
    <row r="2" spans="1:18" ht="18.75">
      <c r="A2" s="277" t="s">
        <v>258</v>
      </c>
      <c r="B2" s="277"/>
      <c r="C2" s="277"/>
      <c r="D2" s="277"/>
      <c r="E2" s="277"/>
      <c r="F2" s="277"/>
      <c r="G2" s="277"/>
      <c r="H2" s="277"/>
      <c r="I2" s="277"/>
      <c r="J2" s="277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" t="s">
        <v>17</v>
      </c>
      <c r="M3" s="106" t="s">
        <v>18</v>
      </c>
      <c r="N3" s="4" t="s">
        <v>1</v>
      </c>
      <c r="O3" s="4" t="s">
        <v>2</v>
      </c>
      <c r="P3" s="4" t="s">
        <v>3</v>
      </c>
      <c r="Q3" s="4" t="s">
        <v>6</v>
      </c>
      <c r="R3" s="4" t="s">
        <v>4</v>
      </c>
    </row>
    <row r="4" spans="1:18">
      <c r="A4" s="113">
        <v>46230</v>
      </c>
      <c r="B4" s="13" t="s">
        <v>67</v>
      </c>
      <c r="C4" s="13">
        <v>1</v>
      </c>
      <c r="D4" s="163"/>
      <c r="E4" s="135" t="s">
        <v>226</v>
      </c>
      <c r="F4" s="165"/>
      <c r="G4" s="155"/>
      <c r="H4" s="135" t="s">
        <v>212</v>
      </c>
      <c r="I4" s="169" t="s">
        <v>77</v>
      </c>
      <c r="J4" s="12"/>
      <c r="K4" s="110" t="s">
        <v>253</v>
      </c>
      <c r="L4" s="124" t="s">
        <v>171</v>
      </c>
      <c r="M4" s="105" t="s">
        <v>212</v>
      </c>
      <c r="N4" s="122" t="s">
        <v>170</v>
      </c>
      <c r="O4" s="123">
        <v>3</v>
      </c>
      <c r="P4" s="7">
        <f>Q4/1.25</f>
        <v>36</v>
      </c>
      <c r="Q4" s="7">
        <f>O4*15</f>
        <v>45</v>
      </c>
      <c r="R4" s="138" t="s">
        <v>247</v>
      </c>
    </row>
    <row r="5" spans="1:18">
      <c r="A5" s="113">
        <v>46231</v>
      </c>
      <c r="B5" s="13" t="s">
        <v>68</v>
      </c>
      <c r="C5" s="13">
        <f>C4+1</f>
        <v>2</v>
      </c>
      <c r="D5" s="148"/>
      <c r="E5" s="165"/>
      <c r="F5" s="154" t="s">
        <v>212</v>
      </c>
      <c r="G5" s="155"/>
      <c r="H5" s="162"/>
      <c r="I5" s="148" t="s">
        <v>261</v>
      </c>
      <c r="J5" s="135" t="s">
        <v>224</v>
      </c>
      <c r="K5" s="110"/>
      <c r="L5" s="124" t="s">
        <v>193</v>
      </c>
      <c r="M5" s="105" t="s">
        <v>77</v>
      </c>
      <c r="N5" s="122" t="s">
        <v>74</v>
      </c>
      <c r="O5" s="123">
        <v>3</v>
      </c>
      <c r="P5" s="7">
        <f t="shared" ref="P5:P6" si="0">Q5/1.25</f>
        <v>36</v>
      </c>
      <c r="Q5" s="7">
        <f t="shared" ref="Q5:Q6" si="1">O5*15</f>
        <v>45</v>
      </c>
      <c r="R5" s="138" t="s">
        <v>111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35" t="s">
        <v>252</v>
      </c>
      <c r="E6" s="135" t="s">
        <v>77</v>
      </c>
      <c r="F6" s="163"/>
      <c r="G6" s="155"/>
      <c r="H6" s="135" t="s">
        <v>250</v>
      </c>
      <c r="I6" s="163"/>
      <c r="J6" s="12"/>
      <c r="L6" s="124" t="s">
        <v>173</v>
      </c>
      <c r="M6" s="105" t="s">
        <v>220</v>
      </c>
      <c r="N6" s="122" t="s">
        <v>172</v>
      </c>
      <c r="O6" s="123">
        <v>2</v>
      </c>
      <c r="P6" s="7">
        <f t="shared" si="0"/>
        <v>24</v>
      </c>
      <c r="Q6" s="7">
        <f t="shared" si="1"/>
        <v>30</v>
      </c>
      <c r="R6" s="138" t="s">
        <v>107</v>
      </c>
    </row>
    <row r="7" spans="1:18">
      <c r="A7" s="113">
        <v>46233</v>
      </c>
      <c r="B7" s="13" t="s">
        <v>70</v>
      </c>
      <c r="C7" s="13">
        <f t="shared" si="2"/>
        <v>4</v>
      </c>
      <c r="D7" s="165"/>
      <c r="E7" s="148" t="s">
        <v>261</v>
      </c>
      <c r="F7" s="135" t="s">
        <v>226</v>
      </c>
      <c r="G7" s="155"/>
      <c r="H7" s="163"/>
      <c r="I7" s="101" t="s">
        <v>77</v>
      </c>
      <c r="J7" s="135" t="s">
        <v>262</v>
      </c>
      <c r="L7" s="124"/>
      <c r="M7" s="147" t="s">
        <v>226</v>
      </c>
      <c r="N7" s="142" t="s">
        <v>246</v>
      </c>
      <c r="O7" s="124">
        <v>4</v>
      </c>
      <c r="P7" s="129">
        <f>Q7/1.25</f>
        <v>48</v>
      </c>
      <c r="Q7" s="129">
        <f>O7*15</f>
        <v>60</v>
      </c>
      <c r="R7" s="149" t="s">
        <v>178</v>
      </c>
    </row>
    <row r="8" spans="1:18">
      <c r="A8" s="113">
        <v>46234</v>
      </c>
      <c r="B8" s="13" t="s">
        <v>71</v>
      </c>
      <c r="C8" s="13">
        <f t="shared" si="2"/>
        <v>5</v>
      </c>
      <c r="D8" s="148" t="s">
        <v>261</v>
      </c>
      <c r="E8" s="135" t="s">
        <v>212</v>
      </c>
      <c r="F8" s="156" t="s">
        <v>252</v>
      </c>
      <c r="G8" s="155"/>
      <c r="H8" s="163"/>
      <c r="I8" s="135" t="s">
        <v>224</v>
      </c>
      <c r="J8" s="135"/>
      <c r="L8" s="124" t="s">
        <v>163</v>
      </c>
      <c r="M8" s="146" t="s">
        <v>78</v>
      </c>
      <c r="N8" s="142" t="s">
        <v>162</v>
      </c>
      <c r="O8" s="124">
        <v>4</v>
      </c>
      <c r="P8" s="129">
        <f t="shared" ref="P8:P22" si="3">Q8/1.25</f>
        <v>48</v>
      </c>
      <c r="Q8" s="129">
        <f t="shared" ref="Q8:Q22" si="4">O8*15</f>
        <v>60</v>
      </c>
      <c r="R8" s="150" t="s">
        <v>238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/>
      <c r="G9" s="14"/>
      <c r="H9" s="13" t="s">
        <v>249</v>
      </c>
      <c r="I9" s="13" t="s">
        <v>249</v>
      </c>
      <c r="J9" s="109"/>
      <c r="L9" s="124" t="s">
        <v>167</v>
      </c>
      <c r="M9" s="147" t="s">
        <v>213</v>
      </c>
      <c r="N9" s="142" t="s">
        <v>166</v>
      </c>
      <c r="O9" s="124">
        <v>4</v>
      </c>
      <c r="P9" s="129">
        <f t="shared" si="3"/>
        <v>48</v>
      </c>
      <c r="Q9" s="129">
        <f t="shared" si="4"/>
        <v>60</v>
      </c>
      <c r="R9" s="157" t="s">
        <v>235</v>
      </c>
    </row>
    <row r="10" spans="1:18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24" t="s">
        <v>175</v>
      </c>
      <c r="M10" s="147" t="s">
        <v>221</v>
      </c>
      <c r="N10" s="142" t="s">
        <v>174</v>
      </c>
      <c r="O10" s="124">
        <v>4</v>
      </c>
      <c r="P10" s="129">
        <f t="shared" si="3"/>
        <v>48</v>
      </c>
      <c r="Q10" s="129">
        <f t="shared" si="4"/>
        <v>60</v>
      </c>
      <c r="R10" s="151" t="s">
        <v>112</v>
      </c>
    </row>
    <row r="11" spans="1:18">
      <c r="A11" s="113">
        <v>46237</v>
      </c>
      <c r="B11" s="13" t="s">
        <v>67</v>
      </c>
      <c r="C11" s="171">
        <f>C9+1</f>
        <v>7</v>
      </c>
      <c r="D11" s="163"/>
      <c r="E11" s="135" t="s">
        <v>226</v>
      </c>
      <c r="F11" s="165"/>
      <c r="G11" s="155"/>
      <c r="H11" s="135" t="s">
        <v>212</v>
      </c>
      <c r="I11" s="169" t="s">
        <v>77</v>
      </c>
      <c r="J11" s="12"/>
      <c r="K11" s="5" t="s">
        <v>274</v>
      </c>
      <c r="L11" s="124" t="s">
        <v>180</v>
      </c>
      <c r="M11" s="147" t="s">
        <v>222</v>
      </c>
      <c r="N11" s="142" t="s">
        <v>179</v>
      </c>
      <c r="O11" s="124">
        <v>4</v>
      </c>
      <c r="P11" s="129">
        <f t="shared" si="3"/>
        <v>48</v>
      </c>
      <c r="Q11" s="129">
        <f t="shared" si="4"/>
        <v>60</v>
      </c>
      <c r="R11" s="151" t="s">
        <v>79</v>
      </c>
    </row>
    <row r="12" spans="1:18" ht="30">
      <c r="A12" s="113">
        <v>46238</v>
      </c>
      <c r="B12" s="13" t="s">
        <v>68</v>
      </c>
      <c r="C12" s="171">
        <f>C11+1</f>
        <v>8</v>
      </c>
      <c r="D12" s="148"/>
      <c r="E12" s="165"/>
      <c r="F12" s="154" t="s">
        <v>212</v>
      </c>
      <c r="G12" s="155"/>
      <c r="H12" s="162"/>
      <c r="I12" s="148" t="s">
        <v>268</v>
      </c>
      <c r="J12" s="135" t="s">
        <v>271</v>
      </c>
      <c r="L12" s="124" t="s">
        <v>184</v>
      </c>
      <c r="M12" s="147" t="s">
        <v>223</v>
      </c>
      <c r="N12" s="142" t="s">
        <v>183</v>
      </c>
      <c r="O12" s="124">
        <v>4</v>
      </c>
      <c r="P12" s="129">
        <f t="shared" si="3"/>
        <v>48</v>
      </c>
      <c r="Q12" s="129">
        <f t="shared" si="4"/>
        <v>60</v>
      </c>
      <c r="R12" s="158" t="s">
        <v>158</v>
      </c>
    </row>
    <row r="13" spans="1:18" ht="30">
      <c r="A13" s="113">
        <v>46239</v>
      </c>
      <c r="B13" s="13" t="s">
        <v>69</v>
      </c>
      <c r="C13" s="171">
        <f t="shared" ref="C13:C16" si="5">C12+1</f>
        <v>9</v>
      </c>
      <c r="D13" s="156" t="s">
        <v>248</v>
      </c>
      <c r="E13" s="135" t="s">
        <v>77</v>
      </c>
      <c r="F13" s="163"/>
      <c r="G13" s="155"/>
      <c r="H13" s="135" t="s">
        <v>262</v>
      </c>
      <c r="I13" s="163"/>
      <c r="J13" s="12"/>
      <c r="L13" s="124" t="s">
        <v>188</v>
      </c>
      <c r="M13" s="147" t="s">
        <v>214</v>
      </c>
      <c r="N13" s="142" t="s">
        <v>187</v>
      </c>
      <c r="O13" s="124">
        <v>4</v>
      </c>
      <c r="P13" s="129">
        <f t="shared" si="3"/>
        <v>48</v>
      </c>
      <c r="Q13" s="129">
        <f t="shared" si="4"/>
        <v>60</v>
      </c>
      <c r="R13" s="235" t="s">
        <v>281</v>
      </c>
    </row>
    <row r="14" spans="1:18" ht="30">
      <c r="A14" s="113">
        <v>46240</v>
      </c>
      <c r="B14" s="13" t="s">
        <v>70</v>
      </c>
      <c r="C14" s="171">
        <f t="shared" si="5"/>
        <v>10</v>
      </c>
      <c r="D14" s="165"/>
      <c r="E14" s="148" t="s">
        <v>268</v>
      </c>
      <c r="F14" s="135" t="s">
        <v>226</v>
      </c>
      <c r="G14" s="155"/>
      <c r="H14" s="163"/>
      <c r="I14" s="12" t="s">
        <v>77</v>
      </c>
      <c r="J14" s="135" t="s">
        <v>262</v>
      </c>
      <c r="L14" s="124" t="s">
        <v>190</v>
      </c>
      <c r="M14" s="147" t="s">
        <v>215</v>
      </c>
      <c r="N14" s="142" t="s">
        <v>189</v>
      </c>
      <c r="O14" s="124">
        <v>4</v>
      </c>
      <c r="P14" s="129">
        <f t="shared" si="3"/>
        <v>48</v>
      </c>
      <c r="Q14" s="129">
        <f t="shared" si="4"/>
        <v>60</v>
      </c>
      <c r="R14" s="225" t="s">
        <v>270</v>
      </c>
    </row>
    <row r="15" spans="1:18">
      <c r="A15" s="113">
        <v>46241</v>
      </c>
      <c r="B15" s="13" t="s">
        <v>71</v>
      </c>
      <c r="C15" s="171">
        <f t="shared" si="5"/>
        <v>11</v>
      </c>
      <c r="D15" s="148" t="s">
        <v>268</v>
      </c>
      <c r="E15" s="135" t="s">
        <v>212</v>
      </c>
      <c r="F15" s="156" t="s">
        <v>248</v>
      </c>
      <c r="G15" s="155"/>
      <c r="H15" s="163"/>
      <c r="I15" s="135" t="s">
        <v>271</v>
      </c>
      <c r="J15" s="135"/>
      <c r="L15" s="124" t="s">
        <v>161</v>
      </c>
      <c r="M15" s="147" t="s">
        <v>224</v>
      </c>
      <c r="N15" s="142" t="s">
        <v>160</v>
      </c>
      <c r="O15" s="124">
        <v>4</v>
      </c>
      <c r="P15" s="129">
        <f t="shared" si="3"/>
        <v>48</v>
      </c>
      <c r="Q15" s="129">
        <f t="shared" si="4"/>
        <v>60</v>
      </c>
      <c r="R15" s="235" t="s">
        <v>282</v>
      </c>
    </row>
    <row r="16" spans="1:18">
      <c r="A16" s="113">
        <v>46242</v>
      </c>
      <c r="B16" s="13" t="s">
        <v>72</v>
      </c>
      <c r="C16" s="171">
        <f t="shared" si="5"/>
        <v>12</v>
      </c>
      <c r="D16" s="10"/>
      <c r="E16" s="10"/>
      <c r="F16" s="13"/>
      <c r="G16" s="14"/>
      <c r="H16" s="13" t="s">
        <v>249</v>
      </c>
      <c r="I16" s="13" t="s">
        <v>249</v>
      </c>
      <c r="J16" s="109"/>
      <c r="L16" s="124" t="s">
        <v>165</v>
      </c>
      <c r="M16" s="147" t="s">
        <v>216</v>
      </c>
      <c r="N16" s="142" t="s">
        <v>164</v>
      </c>
      <c r="O16" s="124">
        <v>4</v>
      </c>
      <c r="P16" s="129">
        <f t="shared" si="3"/>
        <v>48</v>
      </c>
      <c r="Q16" s="129">
        <f t="shared" si="4"/>
        <v>60</v>
      </c>
      <c r="R16" s="151" t="s">
        <v>227</v>
      </c>
    </row>
    <row r="17" spans="1:18">
      <c r="A17" s="113">
        <v>46243</v>
      </c>
      <c r="B17" s="13" t="s">
        <v>73</v>
      </c>
      <c r="C17" s="13"/>
      <c r="D17" s="181"/>
      <c r="E17" s="210"/>
      <c r="F17" s="181"/>
      <c r="G17" s="211"/>
      <c r="H17" s="183"/>
      <c r="I17" s="180"/>
      <c r="J17" s="181"/>
      <c r="L17" s="124" t="s">
        <v>169</v>
      </c>
      <c r="M17" s="147" t="s">
        <v>217</v>
      </c>
      <c r="N17" s="142" t="s">
        <v>168</v>
      </c>
      <c r="O17" s="124">
        <v>4</v>
      </c>
      <c r="P17" s="129">
        <f t="shared" si="3"/>
        <v>48</v>
      </c>
      <c r="Q17" s="129">
        <f t="shared" si="4"/>
        <v>60</v>
      </c>
      <c r="R17" s="160" t="s">
        <v>238</v>
      </c>
    </row>
    <row r="18" spans="1:18">
      <c r="A18" s="113">
        <v>46244</v>
      </c>
      <c r="B18" s="13" t="s">
        <v>67</v>
      </c>
      <c r="C18" s="13">
        <f>C16+1</f>
        <v>13</v>
      </c>
      <c r="D18" s="163"/>
      <c r="E18" s="135" t="s">
        <v>226</v>
      </c>
      <c r="F18" s="250" t="s">
        <v>300</v>
      </c>
      <c r="G18" s="155"/>
      <c r="H18" s="135" t="s">
        <v>212</v>
      </c>
      <c r="I18" s="169" t="s">
        <v>77</v>
      </c>
      <c r="J18" s="12"/>
      <c r="K18" s="5" t="s">
        <v>303</v>
      </c>
      <c r="L18" s="124" t="s">
        <v>177</v>
      </c>
      <c r="M18" s="147" t="s">
        <v>199</v>
      </c>
      <c r="N18" s="142" t="s">
        <v>176</v>
      </c>
      <c r="O18" s="124">
        <v>4</v>
      </c>
      <c r="P18" s="129">
        <f t="shared" si="3"/>
        <v>48</v>
      </c>
      <c r="Q18" s="129">
        <f t="shared" si="4"/>
        <v>60</v>
      </c>
      <c r="R18" s="161" t="s">
        <v>228</v>
      </c>
    </row>
    <row r="19" spans="1:18">
      <c r="A19" s="113">
        <v>46245</v>
      </c>
      <c r="B19" s="13" t="s">
        <v>68</v>
      </c>
      <c r="C19" s="13">
        <f>C18+1</f>
        <v>14</v>
      </c>
      <c r="D19" s="245" t="s">
        <v>214</v>
      </c>
      <c r="E19" s="246" t="s">
        <v>298</v>
      </c>
      <c r="F19" s="154" t="s">
        <v>212</v>
      </c>
      <c r="G19" s="155"/>
      <c r="H19" s="162"/>
      <c r="I19" s="148" t="s">
        <v>268</v>
      </c>
      <c r="J19" s="251" t="s">
        <v>297</v>
      </c>
      <c r="K19" s="5" t="s">
        <v>80</v>
      </c>
      <c r="L19" s="124" t="s">
        <v>182</v>
      </c>
      <c r="M19" s="147" t="s">
        <v>218</v>
      </c>
      <c r="N19" s="142" t="s">
        <v>181</v>
      </c>
      <c r="O19" s="124">
        <v>4</v>
      </c>
      <c r="P19" s="129">
        <f t="shared" si="3"/>
        <v>48</v>
      </c>
      <c r="Q19" s="129">
        <f t="shared" si="4"/>
        <v>60</v>
      </c>
      <c r="R19" s="159" t="s">
        <v>75</v>
      </c>
    </row>
    <row r="20" spans="1:18" ht="30">
      <c r="A20" s="113">
        <v>46246</v>
      </c>
      <c r="B20" s="13" t="s">
        <v>69</v>
      </c>
      <c r="C20" s="13">
        <f t="shared" ref="C20:C22" si="6">C19+1</f>
        <v>15</v>
      </c>
      <c r="D20" s="156" t="s">
        <v>248</v>
      </c>
      <c r="E20" s="135" t="s">
        <v>77</v>
      </c>
      <c r="F20" s="163"/>
      <c r="G20" s="155"/>
      <c r="H20" s="135" t="s">
        <v>262</v>
      </c>
      <c r="I20" s="163"/>
      <c r="J20" s="247" t="s">
        <v>214</v>
      </c>
      <c r="L20" s="124" t="s">
        <v>186</v>
      </c>
      <c r="M20" s="147" t="s">
        <v>225</v>
      </c>
      <c r="N20" s="142" t="s">
        <v>185</v>
      </c>
      <c r="O20" s="124">
        <v>4</v>
      </c>
      <c r="P20" s="129">
        <f t="shared" si="3"/>
        <v>48</v>
      </c>
      <c r="Q20" s="129">
        <f t="shared" si="4"/>
        <v>60</v>
      </c>
      <c r="R20" s="152" t="s">
        <v>158</v>
      </c>
    </row>
    <row r="21" spans="1:18" ht="30">
      <c r="A21" s="113">
        <v>46247</v>
      </c>
      <c r="B21" s="13" t="s">
        <v>70</v>
      </c>
      <c r="C21" s="13">
        <f t="shared" si="6"/>
        <v>16</v>
      </c>
      <c r="D21" s="245" t="s">
        <v>299</v>
      </c>
      <c r="E21" s="148" t="s">
        <v>268</v>
      </c>
      <c r="F21" s="135" t="s">
        <v>226</v>
      </c>
      <c r="G21" s="155"/>
      <c r="H21" s="163"/>
      <c r="I21" s="12" t="s">
        <v>77</v>
      </c>
      <c r="J21" s="135" t="s">
        <v>262</v>
      </c>
      <c r="L21" s="124" t="s">
        <v>192</v>
      </c>
      <c r="M21" s="147" t="s">
        <v>219</v>
      </c>
      <c r="N21" s="122" t="s">
        <v>191</v>
      </c>
      <c r="O21" s="124">
        <v>4</v>
      </c>
      <c r="P21" s="129">
        <f t="shared" si="3"/>
        <v>48</v>
      </c>
      <c r="Q21" s="129">
        <f t="shared" si="4"/>
        <v>60</v>
      </c>
      <c r="R21" s="153" t="s">
        <v>229</v>
      </c>
    </row>
    <row r="22" spans="1:18">
      <c r="A22" s="113">
        <v>46248</v>
      </c>
      <c r="B22" s="13" t="s">
        <v>71</v>
      </c>
      <c r="C22" s="13">
        <f t="shared" si="6"/>
        <v>17</v>
      </c>
      <c r="D22" s="148" t="s">
        <v>268</v>
      </c>
      <c r="E22" s="135" t="s">
        <v>212</v>
      </c>
      <c r="F22" s="156" t="s">
        <v>248</v>
      </c>
      <c r="G22" s="155"/>
      <c r="H22" s="250" t="s">
        <v>300</v>
      </c>
      <c r="I22" s="135" t="s">
        <v>297</v>
      </c>
      <c r="J22" s="247" t="s">
        <v>214</v>
      </c>
      <c r="K22" s="5" t="s">
        <v>304</v>
      </c>
      <c r="L22" s="147"/>
      <c r="M22" s="147" t="s">
        <v>300</v>
      </c>
      <c r="N22" s="234" t="s">
        <v>239</v>
      </c>
      <c r="O22" s="7">
        <v>3</v>
      </c>
      <c r="P22" s="7">
        <f t="shared" si="3"/>
        <v>36</v>
      </c>
      <c r="Q22" s="7">
        <f t="shared" si="4"/>
        <v>45</v>
      </c>
      <c r="R22" s="138" t="s">
        <v>280</v>
      </c>
    </row>
    <row r="23" spans="1:18">
      <c r="A23" s="113">
        <v>46249</v>
      </c>
      <c r="B23" s="13" t="s">
        <v>72</v>
      </c>
      <c r="C23" s="114" t="s">
        <v>23</v>
      </c>
      <c r="D23" s="10"/>
      <c r="E23" s="10"/>
      <c r="F23" s="13"/>
      <c r="G23" s="14"/>
      <c r="H23" s="13"/>
      <c r="I23" s="13"/>
      <c r="J23" s="109"/>
      <c r="L23" s="4"/>
      <c r="M23" s="4"/>
      <c r="N23" s="122" t="s">
        <v>236</v>
      </c>
      <c r="O23" s="129">
        <v>3</v>
      </c>
      <c r="P23" s="129">
        <f>Q23/1.25</f>
        <v>36</v>
      </c>
      <c r="Q23" s="129">
        <f>O23*15</f>
        <v>45</v>
      </c>
      <c r="R23" s="138" t="s">
        <v>237</v>
      </c>
    </row>
    <row r="24" spans="1:18" hidden="1">
      <c r="A24" s="113">
        <v>46250</v>
      </c>
      <c r="B24" s="13" t="s">
        <v>73</v>
      </c>
      <c r="C24" s="114"/>
      <c r="D24" s="255"/>
      <c r="E24" s="256"/>
      <c r="F24" s="255"/>
      <c r="G24" s="257"/>
      <c r="H24" s="258"/>
      <c r="I24" s="261"/>
      <c r="J24" s="255"/>
      <c r="N24" s="28"/>
      <c r="O24" s="28"/>
      <c r="P24" s="1"/>
    </row>
    <row r="25" spans="1:18" hidden="1">
      <c r="A25" s="113">
        <v>46251</v>
      </c>
      <c r="B25" s="13" t="s">
        <v>67</v>
      </c>
      <c r="C25" s="227">
        <f>C22+1</f>
        <v>18</v>
      </c>
      <c r="D25" s="163"/>
      <c r="E25" s="135" t="s">
        <v>226</v>
      </c>
      <c r="F25" s="250" t="s">
        <v>300</v>
      </c>
      <c r="G25" s="155"/>
      <c r="H25" s="135" t="s">
        <v>212</v>
      </c>
      <c r="I25" s="169" t="s">
        <v>77</v>
      </c>
      <c r="J25" s="12"/>
      <c r="K25" s="5" t="s">
        <v>303</v>
      </c>
      <c r="N25" s="28"/>
      <c r="O25" s="28"/>
      <c r="P25" s="1"/>
    </row>
    <row r="26" spans="1:18" hidden="1">
      <c r="A26" s="113">
        <v>46252</v>
      </c>
      <c r="B26" s="13" t="s">
        <v>68</v>
      </c>
      <c r="C26" s="227">
        <f>C25+1</f>
        <v>19</v>
      </c>
      <c r="D26" s="250" t="s">
        <v>214</v>
      </c>
      <c r="E26" s="246" t="s">
        <v>298</v>
      </c>
      <c r="F26" s="154" t="s">
        <v>212</v>
      </c>
      <c r="G26" s="155"/>
      <c r="H26" s="162"/>
      <c r="I26" s="148" t="s">
        <v>268</v>
      </c>
      <c r="J26" s="251" t="s">
        <v>297</v>
      </c>
      <c r="K26" s="5" t="s">
        <v>80</v>
      </c>
      <c r="N26" s="28"/>
      <c r="O26" s="28"/>
      <c r="P26" s="1"/>
    </row>
    <row r="27" spans="1:18" ht="30" hidden="1">
      <c r="A27" s="113">
        <v>46253</v>
      </c>
      <c r="B27" s="13" t="s">
        <v>69</v>
      </c>
      <c r="C27" s="227">
        <f t="shared" ref="C27:C30" si="7">C26+1</f>
        <v>20</v>
      </c>
      <c r="D27" s="156" t="s">
        <v>248</v>
      </c>
      <c r="E27" s="135" t="s">
        <v>77</v>
      </c>
      <c r="F27" s="163"/>
      <c r="G27" s="155"/>
      <c r="H27" s="135" t="s">
        <v>262</v>
      </c>
      <c r="I27" s="163"/>
      <c r="J27" s="250" t="s">
        <v>214</v>
      </c>
      <c r="N27" s="28"/>
      <c r="O27" s="28"/>
      <c r="P27" s="1"/>
    </row>
    <row r="28" spans="1:18" ht="30" hidden="1">
      <c r="A28" s="113">
        <v>46254</v>
      </c>
      <c r="B28" s="13" t="s">
        <v>70</v>
      </c>
      <c r="C28" s="227">
        <f t="shared" si="7"/>
        <v>21</v>
      </c>
      <c r="D28" s="250" t="s">
        <v>299</v>
      </c>
      <c r="E28" s="148" t="s">
        <v>268</v>
      </c>
      <c r="F28" s="135" t="s">
        <v>226</v>
      </c>
      <c r="G28" s="155"/>
      <c r="H28" s="163"/>
      <c r="I28" s="12" t="s">
        <v>77</v>
      </c>
      <c r="J28" s="135" t="s">
        <v>262</v>
      </c>
      <c r="M28" s="3" t="s">
        <v>80</v>
      </c>
      <c r="N28" s="28"/>
      <c r="O28" s="28"/>
      <c r="P28" s="1"/>
    </row>
    <row r="29" spans="1:18" hidden="1">
      <c r="A29" s="113">
        <v>46255</v>
      </c>
      <c r="B29" s="13" t="s">
        <v>71</v>
      </c>
      <c r="C29" s="227">
        <f t="shared" si="7"/>
        <v>22</v>
      </c>
      <c r="D29" s="148" t="s">
        <v>268</v>
      </c>
      <c r="E29" s="135" t="s">
        <v>212</v>
      </c>
      <c r="F29" s="156" t="s">
        <v>248</v>
      </c>
      <c r="G29" s="155"/>
      <c r="H29" s="250" t="s">
        <v>300</v>
      </c>
      <c r="I29" s="135" t="s">
        <v>297</v>
      </c>
      <c r="J29" s="250" t="s">
        <v>214</v>
      </c>
      <c r="K29" s="5" t="s">
        <v>304</v>
      </c>
      <c r="N29" s="28"/>
      <c r="O29" s="28"/>
      <c r="P29" s="1"/>
    </row>
    <row r="30" spans="1:18" hidden="1">
      <c r="A30" s="113">
        <v>46256</v>
      </c>
      <c r="B30" s="13" t="s">
        <v>72</v>
      </c>
      <c r="C30" s="227">
        <f t="shared" si="7"/>
        <v>23</v>
      </c>
      <c r="D30" s="10"/>
      <c r="E30" s="10"/>
      <c r="F30" s="13"/>
      <c r="G30" s="14"/>
      <c r="H30" s="13" t="s">
        <v>218</v>
      </c>
      <c r="I30" s="13" t="s">
        <v>218</v>
      </c>
      <c r="J30" s="109"/>
      <c r="N30" s="28"/>
      <c r="O30" s="28"/>
      <c r="P30" s="1"/>
    </row>
    <row r="31" spans="1:18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0"/>
      <c r="J31" s="13"/>
      <c r="N31" s="28"/>
      <c r="O31" s="28"/>
      <c r="P31" s="1"/>
    </row>
    <row r="32" spans="1:18" hidden="1">
      <c r="A32" s="113">
        <v>46258</v>
      </c>
      <c r="B32" s="13" t="s">
        <v>67</v>
      </c>
      <c r="C32" s="227">
        <f>C29+1</f>
        <v>23</v>
      </c>
      <c r="D32" s="163"/>
      <c r="E32" s="135" t="s">
        <v>226</v>
      </c>
      <c r="F32" s="250" t="s">
        <v>300</v>
      </c>
      <c r="G32" s="155"/>
      <c r="H32" s="135" t="s">
        <v>212</v>
      </c>
      <c r="I32" s="169" t="s">
        <v>77</v>
      </c>
      <c r="J32" s="12"/>
      <c r="K32" s="5" t="s">
        <v>303</v>
      </c>
      <c r="N32" s="28"/>
      <c r="O32" s="28"/>
      <c r="P32" s="1"/>
    </row>
    <row r="33" spans="1:18" hidden="1">
      <c r="A33" s="113">
        <v>46259</v>
      </c>
      <c r="B33" s="13" t="s">
        <v>68</v>
      </c>
      <c r="C33" s="227">
        <f>C32+1</f>
        <v>24</v>
      </c>
      <c r="D33" s="250" t="s">
        <v>214</v>
      </c>
      <c r="E33" s="246" t="s">
        <v>298</v>
      </c>
      <c r="F33" s="154" t="s">
        <v>212</v>
      </c>
      <c r="G33" s="155"/>
      <c r="H33" s="162"/>
      <c r="I33" s="148" t="s">
        <v>268</v>
      </c>
      <c r="J33" s="251" t="s">
        <v>297</v>
      </c>
      <c r="K33" s="5" t="s">
        <v>80</v>
      </c>
      <c r="N33" s="28"/>
      <c r="O33" s="28"/>
      <c r="P33" s="1"/>
    </row>
    <row r="34" spans="1:18" ht="30" hidden="1">
      <c r="A34" s="113">
        <v>46260</v>
      </c>
      <c r="B34" s="13" t="s">
        <v>69</v>
      </c>
      <c r="C34" s="227">
        <f t="shared" ref="C34:C35" si="8">C33+1</f>
        <v>25</v>
      </c>
      <c r="D34" s="156" t="s">
        <v>248</v>
      </c>
      <c r="E34" s="135" t="s">
        <v>77</v>
      </c>
      <c r="F34" s="163"/>
      <c r="G34" s="155"/>
      <c r="H34" s="135" t="s">
        <v>262</v>
      </c>
      <c r="I34" s="163"/>
      <c r="J34" s="250" t="s">
        <v>214</v>
      </c>
      <c r="N34" s="28"/>
      <c r="O34" s="28"/>
      <c r="P34" s="1"/>
    </row>
    <row r="35" spans="1:18" ht="30" hidden="1">
      <c r="A35" s="113">
        <v>46261</v>
      </c>
      <c r="B35" s="13" t="s">
        <v>70</v>
      </c>
      <c r="C35" s="227">
        <f t="shared" si="8"/>
        <v>26</v>
      </c>
      <c r="D35" s="250" t="s">
        <v>299</v>
      </c>
      <c r="E35" s="148" t="s">
        <v>268</v>
      </c>
      <c r="F35" s="135" t="s">
        <v>226</v>
      </c>
      <c r="G35" s="155"/>
      <c r="H35" s="163"/>
      <c r="I35" s="12" t="s">
        <v>77</v>
      </c>
      <c r="J35" s="135" t="s">
        <v>262</v>
      </c>
      <c r="N35" s="28"/>
      <c r="O35" s="28"/>
      <c r="P35" s="1"/>
    </row>
    <row r="36" spans="1:18" hidden="1">
      <c r="A36" s="113">
        <v>46262</v>
      </c>
      <c r="B36" s="13" t="s">
        <v>71</v>
      </c>
      <c r="C36" s="227" t="s">
        <v>22</v>
      </c>
      <c r="D36" s="148"/>
      <c r="E36" s="135"/>
      <c r="F36" s="156"/>
      <c r="G36" s="155"/>
      <c r="H36" s="250"/>
      <c r="I36" s="135"/>
      <c r="J36" s="250"/>
      <c r="N36" s="28"/>
      <c r="O36" s="28"/>
      <c r="P36" s="1"/>
    </row>
    <row r="37" spans="1:18" hidden="1">
      <c r="A37" s="113">
        <v>46263</v>
      </c>
      <c r="B37" s="13" t="s">
        <v>72</v>
      </c>
      <c r="C37" s="228">
        <f>C35+1</f>
        <v>27</v>
      </c>
      <c r="D37" s="10"/>
      <c r="E37" s="10"/>
      <c r="F37" s="13"/>
      <c r="G37" s="14"/>
      <c r="H37" s="13" t="s">
        <v>218</v>
      </c>
      <c r="I37" s="13" t="s">
        <v>218</v>
      </c>
      <c r="J37" s="109"/>
      <c r="N37" s="28"/>
      <c r="O37" s="28"/>
      <c r="P37" s="1"/>
    </row>
    <row r="38" spans="1:18">
      <c r="A38" s="113">
        <v>46264</v>
      </c>
      <c r="B38" s="13" t="s">
        <v>73</v>
      </c>
      <c r="C38" s="229"/>
      <c r="D38" s="13"/>
      <c r="E38" s="12"/>
      <c r="F38" s="13"/>
      <c r="G38" s="15"/>
      <c r="H38" s="109"/>
      <c r="I38" s="10"/>
      <c r="J38" s="13"/>
      <c r="N38" s="28"/>
      <c r="O38" s="28"/>
      <c r="P38" s="1"/>
    </row>
    <row r="39" spans="1:18">
      <c r="A39" s="113">
        <v>46265</v>
      </c>
      <c r="B39" s="13" t="s">
        <v>67</v>
      </c>
      <c r="C39" s="227">
        <f>C37+1</f>
        <v>28</v>
      </c>
      <c r="D39" s="163"/>
      <c r="E39" s="135" t="s">
        <v>226</v>
      </c>
      <c r="F39" s="250" t="s">
        <v>300</v>
      </c>
      <c r="G39" s="155"/>
      <c r="H39" s="135" t="s">
        <v>212</v>
      </c>
      <c r="I39" s="169" t="s">
        <v>77</v>
      </c>
      <c r="J39" s="12"/>
      <c r="K39" s="5" t="s">
        <v>303</v>
      </c>
      <c r="N39" s="28"/>
      <c r="O39" s="28"/>
      <c r="P39" s="1"/>
    </row>
    <row r="40" spans="1:18">
      <c r="A40" s="113">
        <v>46266</v>
      </c>
      <c r="B40" s="13" t="s">
        <v>68</v>
      </c>
      <c r="C40" s="227">
        <f>C39+1</f>
        <v>29</v>
      </c>
      <c r="D40" s="250" t="s">
        <v>214</v>
      </c>
      <c r="E40" s="246" t="s">
        <v>298</v>
      </c>
      <c r="F40" s="154" t="s">
        <v>212</v>
      </c>
      <c r="G40" s="155"/>
      <c r="H40" s="162"/>
      <c r="I40" s="148" t="s">
        <v>268</v>
      </c>
      <c r="J40" s="251" t="s">
        <v>297</v>
      </c>
      <c r="K40" s="5" t="s">
        <v>80</v>
      </c>
      <c r="N40" s="28"/>
      <c r="O40" s="28"/>
      <c r="P40" s="1"/>
    </row>
    <row r="41" spans="1:18" ht="30">
      <c r="A41" s="113">
        <v>46267</v>
      </c>
      <c r="B41" s="13" t="s">
        <v>69</v>
      </c>
      <c r="C41" s="227">
        <f t="shared" ref="C41:C42" si="9">C40+1</f>
        <v>30</v>
      </c>
      <c r="D41" s="156" t="s">
        <v>248</v>
      </c>
      <c r="E41" s="135" t="s">
        <v>77</v>
      </c>
      <c r="F41" s="163"/>
      <c r="G41" s="155"/>
      <c r="H41" s="135" t="s">
        <v>262</v>
      </c>
      <c r="I41" s="163"/>
      <c r="J41" s="250" t="s">
        <v>214</v>
      </c>
      <c r="N41" s="28"/>
      <c r="O41" s="28"/>
      <c r="P41" s="1"/>
    </row>
    <row r="42" spans="1:18" ht="30">
      <c r="A42" s="113">
        <v>46268</v>
      </c>
      <c r="B42" s="13" t="s">
        <v>70</v>
      </c>
      <c r="C42" s="227">
        <f t="shared" si="9"/>
        <v>31</v>
      </c>
      <c r="D42" s="250" t="s">
        <v>299</v>
      </c>
      <c r="E42" s="148" t="s">
        <v>268</v>
      </c>
      <c r="F42" s="135" t="s">
        <v>226</v>
      </c>
      <c r="G42" s="155"/>
      <c r="H42" s="163"/>
      <c r="I42" s="12" t="s">
        <v>77</v>
      </c>
      <c r="J42" s="135" t="s">
        <v>262</v>
      </c>
      <c r="N42" s="28"/>
      <c r="O42" s="28"/>
      <c r="P42" s="1"/>
    </row>
    <row r="43" spans="1:18">
      <c r="A43" s="113">
        <v>46269</v>
      </c>
      <c r="B43" s="13" t="s">
        <v>71</v>
      </c>
      <c r="C43" s="227" t="s">
        <v>81</v>
      </c>
      <c r="D43" s="148"/>
      <c r="E43" s="135"/>
      <c r="F43" s="156"/>
      <c r="G43" s="155"/>
      <c r="H43" s="250"/>
      <c r="I43" s="135"/>
      <c r="J43" s="250"/>
      <c r="N43" s="28"/>
      <c r="O43" s="28"/>
      <c r="P43" s="1"/>
    </row>
    <row r="44" spans="1:18">
      <c r="A44" s="113">
        <v>46270</v>
      </c>
      <c r="B44" s="13" t="s">
        <v>72</v>
      </c>
      <c r="C44" s="228">
        <f>C42+1</f>
        <v>32</v>
      </c>
      <c r="D44" s="10"/>
      <c r="E44" s="10"/>
      <c r="F44" s="13"/>
      <c r="G44" s="14"/>
      <c r="H44" s="13" t="s">
        <v>218</v>
      </c>
      <c r="I44" s="13" t="s">
        <v>218</v>
      </c>
      <c r="J44" s="109"/>
      <c r="N44" s="28"/>
      <c r="O44" s="28"/>
      <c r="P44" s="1"/>
    </row>
    <row r="45" spans="1:18">
      <c r="A45" s="113">
        <v>46271</v>
      </c>
      <c r="B45" s="13" t="s">
        <v>73</v>
      </c>
      <c r="C45" s="227"/>
      <c r="D45" s="13"/>
      <c r="E45" s="12"/>
      <c r="F45" s="13"/>
      <c r="G45" s="15"/>
      <c r="H45" s="109"/>
      <c r="I45" s="10"/>
      <c r="J45" s="13"/>
      <c r="N45" s="28"/>
      <c r="O45" s="28"/>
      <c r="P45" s="1"/>
    </row>
    <row r="46" spans="1:18">
      <c r="A46" s="113">
        <v>46272</v>
      </c>
      <c r="B46" s="13" t="s">
        <v>67</v>
      </c>
      <c r="C46" s="227">
        <f>C44+1</f>
        <v>33</v>
      </c>
      <c r="D46" s="163"/>
      <c r="E46" s="135" t="s">
        <v>226</v>
      </c>
      <c r="F46" s="250" t="s">
        <v>300</v>
      </c>
      <c r="G46" s="155"/>
      <c r="H46" s="135" t="s">
        <v>212</v>
      </c>
      <c r="I46" s="169" t="s">
        <v>77</v>
      </c>
      <c r="J46" s="12"/>
      <c r="K46" s="5" t="s">
        <v>331</v>
      </c>
      <c r="N46" s="28"/>
      <c r="O46" s="28"/>
      <c r="P46" s="1"/>
    </row>
    <row r="47" spans="1:18">
      <c r="A47" s="113">
        <v>46273</v>
      </c>
      <c r="B47" s="13" t="s">
        <v>68</v>
      </c>
      <c r="C47" s="227">
        <f>C46+1</f>
        <v>34</v>
      </c>
      <c r="D47" s="250" t="s">
        <v>214</v>
      </c>
      <c r="E47" s="246" t="s">
        <v>298</v>
      </c>
      <c r="F47" s="154" t="s">
        <v>212</v>
      </c>
      <c r="G47" s="155"/>
      <c r="H47" s="162"/>
      <c r="I47" s="148" t="s">
        <v>268</v>
      </c>
      <c r="J47" s="251" t="s">
        <v>297</v>
      </c>
      <c r="K47" s="5" t="s">
        <v>80</v>
      </c>
      <c r="N47" s="28"/>
      <c r="O47" s="5"/>
      <c r="P47" s="1"/>
      <c r="Q47" s="1"/>
      <c r="R47" s="1"/>
    </row>
    <row r="48" spans="1:18" ht="30">
      <c r="A48" s="113">
        <v>46274</v>
      </c>
      <c r="B48" s="13" t="s">
        <v>69</v>
      </c>
      <c r="C48" s="114">
        <f t="shared" ref="C48:C51" si="10">C47+1</f>
        <v>35</v>
      </c>
      <c r="D48" s="156" t="s">
        <v>248</v>
      </c>
      <c r="E48" s="135" t="s">
        <v>77</v>
      </c>
      <c r="F48" s="163"/>
      <c r="G48" s="155"/>
      <c r="H48" s="135" t="s">
        <v>262</v>
      </c>
      <c r="I48" s="163"/>
      <c r="J48" s="250" t="s">
        <v>214</v>
      </c>
      <c r="N48" s="28"/>
      <c r="O48" s="5"/>
      <c r="P48" s="1"/>
      <c r="Q48" s="1"/>
      <c r="R48" s="1"/>
    </row>
    <row r="49" spans="1:18" ht="30">
      <c r="A49" s="113">
        <v>46275</v>
      </c>
      <c r="B49" s="13" t="s">
        <v>70</v>
      </c>
      <c r="C49" s="114">
        <f t="shared" si="10"/>
        <v>36</v>
      </c>
      <c r="D49" s="250" t="s">
        <v>299</v>
      </c>
      <c r="E49" s="148" t="s">
        <v>268</v>
      </c>
      <c r="F49" s="135" t="s">
        <v>226</v>
      </c>
      <c r="G49" s="155"/>
      <c r="H49" s="163"/>
      <c r="I49" s="12" t="s">
        <v>77</v>
      </c>
      <c r="J49" s="135" t="s">
        <v>262</v>
      </c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114">
        <f t="shared" si="10"/>
        <v>37</v>
      </c>
      <c r="D50" s="148" t="s">
        <v>268</v>
      </c>
      <c r="E50" s="135" t="s">
        <v>212</v>
      </c>
      <c r="F50" s="156" t="s">
        <v>248</v>
      </c>
      <c r="G50" s="155"/>
      <c r="H50" s="250" t="s">
        <v>300</v>
      </c>
      <c r="I50" s="135" t="s">
        <v>297</v>
      </c>
      <c r="J50" s="250" t="s">
        <v>214</v>
      </c>
      <c r="K50" s="5" t="s">
        <v>304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10"/>
        <v>38</v>
      </c>
      <c r="D51" s="10"/>
      <c r="E51" s="10"/>
      <c r="F51" s="13"/>
      <c r="G51" s="14"/>
      <c r="H51" s="13" t="s">
        <v>218</v>
      </c>
      <c r="I51" s="13" t="s">
        <v>218</v>
      </c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81"/>
      <c r="E52" s="210"/>
      <c r="F52" s="181"/>
      <c r="G52" s="211"/>
      <c r="H52" s="183"/>
      <c r="I52" s="180"/>
      <c r="J52" s="181"/>
      <c r="L52" s="1"/>
      <c r="M52" s="1"/>
      <c r="O52" s="5"/>
      <c r="P52" s="1"/>
      <c r="Q52" s="1"/>
      <c r="R52" s="1"/>
    </row>
  </sheetData>
  <mergeCells count="2">
    <mergeCell ref="A1:J1"/>
    <mergeCell ref="A2:J2"/>
  </mergeCells>
  <phoneticPr fontId="1" type="noConversion"/>
  <conditionalFormatting sqref="B1:B2">
    <cfRule type="cellIs" dxfId="8" priority="4" operator="equal">
      <formula>"Sat"</formula>
    </cfRule>
  </conditionalFormatting>
  <conditionalFormatting sqref="B4:B52">
    <cfRule type="containsText" dxfId="7" priority="1" operator="containsText" text="Sun">
      <formula>NOT(ISERROR(SEARCH("Sun",B4)))</formula>
    </cfRule>
  </conditionalFormatting>
  <conditionalFormatting sqref="B60:B1048576">
    <cfRule type="cellIs" dxfId="6" priority="2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3639-8367-4DA3-B461-02C075C94B9F}">
  <dimension ref="A1:R52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1" sqref="S1:U1048576"/>
    </sheetView>
  </sheetViews>
  <sheetFormatPr defaultRowHeight="15"/>
  <cols>
    <col min="1" max="1" width="10.28515625" style="103" bestFit="1" customWidth="1"/>
    <col min="2" max="2" width="6.5703125" style="104" customWidth="1"/>
    <col min="3" max="3" width="14.5703125" style="104" bestFit="1" customWidth="1"/>
    <col min="4" max="4" width="13.28515625" style="101" bestFit="1" customWidth="1"/>
    <col min="5" max="5" width="11.85546875" style="101" bestFit="1" customWidth="1"/>
    <col min="6" max="6" width="16.7109375" style="101" bestFit="1" customWidth="1"/>
    <col min="7" max="7" width="11.85546875" style="101" bestFit="1" customWidth="1"/>
    <col min="8" max="8" width="16.42578125" style="101" customWidth="1"/>
    <col min="9" max="9" width="16.42578125" style="101" bestFit="1" customWidth="1"/>
    <col min="10" max="10" width="11.85546875" style="101" bestFit="1" customWidth="1"/>
    <col min="11" max="11" width="15.5703125" style="5" customWidth="1"/>
    <col min="12" max="12" width="13.42578125" style="3" bestFit="1" customWidth="1"/>
    <col min="13" max="13" width="9.42578125" style="3" bestFit="1" customWidth="1"/>
    <col min="14" max="14" width="48.28515625" style="5" bestFit="1" customWidth="1"/>
    <col min="15" max="15" width="7" style="1" bestFit="1" customWidth="1"/>
    <col min="16" max="16" width="9.140625" style="5" bestFit="1" customWidth="1"/>
    <col min="17" max="17" width="5.5703125" style="5" bestFit="1" customWidth="1"/>
    <col min="18" max="18" width="25.85546875" style="5" bestFit="1" customWidth="1"/>
    <col min="19" max="16384" width="9.140625" style="5"/>
  </cols>
  <sheetData>
    <row r="1" spans="1:18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  <c r="K1" s="2"/>
    </row>
    <row r="2" spans="1:18" ht="18.75">
      <c r="A2" s="277" t="s">
        <v>259</v>
      </c>
      <c r="B2" s="277"/>
      <c r="C2" s="277"/>
      <c r="D2" s="277"/>
      <c r="E2" s="277"/>
      <c r="F2" s="277"/>
      <c r="G2" s="277"/>
      <c r="H2" s="277"/>
      <c r="I2" s="277"/>
      <c r="J2" s="277"/>
      <c r="K2" s="2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L3" s="4" t="s">
        <v>17</v>
      </c>
      <c r="M3" s="106" t="s">
        <v>18</v>
      </c>
      <c r="N3" s="4" t="s">
        <v>1</v>
      </c>
      <c r="O3" s="4" t="s">
        <v>2</v>
      </c>
      <c r="P3" s="4" t="s">
        <v>3</v>
      </c>
      <c r="Q3" s="4" t="s">
        <v>6</v>
      </c>
      <c r="R3" s="4" t="s">
        <v>4</v>
      </c>
    </row>
    <row r="4" spans="1:18">
      <c r="A4" s="113">
        <v>46230</v>
      </c>
      <c r="B4" s="13" t="s">
        <v>67</v>
      </c>
      <c r="C4" s="13">
        <v>1</v>
      </c>
      <c r="D4" s="135" t="s">
        <v>212</v>
      </c>
      <c r="E4" s="162"/>
      <c r="F4" s="148" t="s">
        <v>77</v>
      </c>
      <c r="G4" s="155"/>
      <c r="H4" s="163"/>
      <c r="I4" s="135" t="s">
        <v>226</v>
      </c>
      <c r="J4" s="164"/>
      <c r="K4" s="110"/>
      <c r="L4" s="124" t="s">
        <v>171</v>
      </c>
      <c r="M4" s="146" t="s">
        <v>212</v>
      </c>
      <c r="N4" s="142" t="s">
        <v>170</v>
      </c>
      <c r="O4" s="124">
        <v>3</v>
      </c>
      <c r="P4" s="129">
        <f>Q4/1.25</f>
        <v>36</v>
      </c>
      <c r="Q4" s="129">
        <f>O4*15</f>
        <v>45</v>
      </c>
      <c r="R4" s="138" t="s">
        <v>247</v>
      </c>
    </row>
    <row r="5" spans="1:18">
      <c r="A5" s="113">
        <v>46231</v>
      </c>
      <c r="B5" s="13" t="s">
        <v>68</v>
      </c>
      <c r="C5" s="13">
        <f>C4+1</f>
        <v>2</v>
      </c>
      <c r="D5" s="165"/>
      <c r="E5" s="148"/>
      <c r="F5" s="162"/>
      <c r="G5" s="155"/>
      <c r="H5" s="154" t="s">
        <v>226</v>
      </c>
      <c r="I5" s="148" t="s">
        <v>261</v>
      </c>
      <c r="J5" s="135" t="s">
        <v>224</v>
      </c>
      <c r="K5" s="110"/>
      <c r="L5" s="124" t="s">
        <v>193</v>
      </c>
      <c r="M5" s="146" t="s">
        <v>77</v>
      </c>
      <c r="N5" s="142" t="s">
        <v>74</v>
      </c>
      <c r="O5" s="124">
        <v>3</v>
      </c>
      <c r="P5" s="129">
        <f t="shared" ref="P5:P6" si="0">Q5/1.25</f>
        <v>36</v>
      </c>
      <c r="Q5" s="129">
        <f t="shared" ref="Q5:Q6" si="1">O5*15</f>
        <v>45</v>
      </c>
      <c r="R5" s="149" t="s">
        <v>111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35" t="s">
        <v>252</v>
      </c>
      <c r="E6" s="163"/>
      <c r="F6" s="135" t="s">
        <v>77</v>
      </c>
      <c r="G6" s="155"/>
      <c r="H6" s="135" t="s">
        <v>250</v>
      </c>
      <c r="I6" s="135" t="s">
        <v>212</v>
      </c>
      <c r="J6" s="163"/>
      <c r="L6" s="124" t="s">
        <v>173</v>
      </c>
      <c r="M6" s="146" t="s">
        <v>220</v>
      </c>
      <c r="N6" s="142" t="s">
        <v>172</v>
      </c>
      <c r="O6" s="124">
        <v>2</v>
      </c>
      <c r="P6" s="129">
        <f t="shared" si="0"/>
        <v>24</v>
      </c>
      <c r="Q6" s="129">
        <f t="shared" si="1"/>
        <v>30</v>
      </c>
      <c r="R6" s="143" t="s">
        <v>107</v>
      </c>
    </row>
    <row r="7" spans="1:18">
      <c r="A7" s="113">
        <v>46233</v>
      </c>
      <c r="B7" s="13" t="s">
        <v>70</v>
      </c>
      <c r="C7" s="13">
        <f t="shared" si="2"/>
        <v>4</v>
      </c>
      <c r="D7" s="148"/>
      <c r="E7" s="148" t="s">
        <v>261</v>
      </c>
      <c r="F7" s="163"/>
      <c r="G7" s="155"/>
      <c r="H7" s="135" t="s">
        <v>77</v>
      </c>
      <c r="I7" s="141"/>
      <c r="J7" s="135" t="s">
        <v>262</v>
      </c>
      <c r="L7" s="124"/>
      <c r="M7" s="147" t="s">
        <v>226</v>
      </c>
      <c r="N7" s="142" t="s">
        <v>246</v>
      </c>
      <c r="O7" s="124">
        <v>4</v>
      </c>
      <c r="P7" s="129">
        <f>Q7/1.25</f>
        <v>48</v>
      </c>
      <c r="Q7" s="129">
        <f>O7*15</f>
        <v>60</v>
      </c>
      <c r="R7" s="149" t="s">
        <v>178</v>
      </c>
    </row>
    <row r="8" spans="1:18">
      <c r="A8" s="113">
        <v>46234</v>
      </c>
      <c r="B8" s="13" t="s">
        <v>71</v>
      </c>
      <c r="C8" s="13">
        <f t="shared" si="2"/>
        <v>5</v>
      </c>
      <c r="D8" s="148" t="s">
        <v>261</v>
      </c>
      <c r="E8" s="163"/>
      <c r="F8" s="156" t="s">
        <v>252</v>
      </c>
      <c r="G8" s="155"/>
      <c r="H8" s="135" t="s">
        <v>212</v>
      </c>
      <c r="I8" s="135" t="s">
        <v>224</v>
      </c>
      <c r="J8" s="163"/>
      <c r="L8" s="124" t="s">
        <v>163</v>
      </c>
      <c r="M8" s="146" t="s">
        <v>78</v>
      </c>
      <c r="N8" s="142" t="s">
        <v>162</v>
      </c>
      <c r="O8" s="124">
        <v>4</v>
      </c>
      <c r="P8" s="129">
        <f t="shared" ref="P8:P15" si="3">Q8/1.25</f>
        <v>48</v>
      </c>
      <c r="Q8" s="129">
        <f t="shared" ref="Q8:Q15" si="4">O8*15</f>
        <v>60</v>
      </c>
      <c r="R8" s="150" t="s">
        <v>238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/>
      <c r="G9" s="14"/>
      <c r="H9" s="13" t="s">
        <v>249</v>
      </c>
      <c r="I9" s="13" t="s">
        <v>249</v>
      </c>
      <c r="J9" s="109"/>
      <c r="L9" s="124" t="s">
        <v>167</v>
      </c>
      <c r="M9" s="147" t="s">
        <v>213</v>
      </c>
      <c r="N9" s="142" t="s">
        <v>166</v>
      </c>
      <c r="O9" s="124">
        <v>4</v>
      </c>
      <c r="P9" s="129">
        <f t="shared" si="3"/>
        <v>48</v>
      </c>
      <c r="Q9" s="129">
        <f t="shared" si="4"/>
        <v>60</v>
      </c>
      <c r="R9" s="157" t="s">
        <v>235</v>
      </c>
    </row>
    <row r="10" spans="1:18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24" t="s">
        <v>175</v>
      </c>
      <c r="M10" s="147" t="s">
        <v>221</v>
      </c>
      <c r="N10" s="142" t="s">
        <v>174</v>
      </c>
      <c r="O10" s="124">
        <v>4</v>
      </c>
      <c r="P10" s="129">
        <f t="shared" si="3"/>
        <v>48</v>
      </c>
      <c r="Q10" s="129">
        <f t="shared" si="4"/>
        <v>60</v>
      </c>
      <c r="R10" s="151" t="s">
        <v>112</v>
      </c>
    </row>
    <row r="11" spans="1:18">
      <c r="A11" s="113">
        <v>46237</v>
      </c>
      <c r="B11" s="13" t="s">
        <v>67</v>
      </c>
      <c r="C11" s="171">
        <f>C9+1</f>
        <v>7</v>
      </c>
      <c r="D11" s="135" t="s">
        <v>212</v>
      </c>
      <c r="E11" s="162"/>
      <c r="F11" s="148" t="s">
        <v>77</v>
      </c>
      <c r="G11" s="155"/>
      <c r="H11" s="163"/>
      <c r="I11" s="135" t="s">
        <v>226</v>
      </c>
      <c r="J11" s="164"/>
      <c r="L11" s="124" t="s">
        <v>180</v>
      </c>
      <c r="M11" s="147" t="s">
        <v>222</v>
      </c>
      <c r="N11" s="142" t="s">
        <v>179</v>
      </c>
      <c r="O11" s="124">
        <v>4</v>
      </c>
      <c r="P11" s="129">
        <f t="shared" si="3"/>
        <v>48</v>
      </c>
      <c r="Q11" s="129">
        <f t="shared" si="4"/>
        <v>60</v>
      </c>
      <c r="R11" s="151" t="s">
        <v>79</v>
      </c>
    </row>
    <row r="12" spans="1:18" ht="30">
      <c r="A12" s="113">
        <v>46238</v>
      </c>
      <c r="B12" s="13" t="s">
        <v>68</v>
      </c>
      <c r="C12" s="171">
        <f>C11+1</f>
        <v>8</v>
      </c>
      <c r="D12" s="165"/>
      <c r="E12" s="148"/>
      <c r="F12" s="162"/>
      <c r="G12" s="155"/>
      <c r="H12" s="154" t="s">
        <v>226</v>
      </c>
      <c r="I12" s="173" t="s">
        <v>268</v>
      </c>
      <c r="J12" s="174" t="s">
        <v>271</v>
      </c>
      <c r="L12" s="124" t="s">
        <v>184</v>
      </c>
      <c r="M12" s="147" t="s">
        <v>223</v>
      </c>
      <c r="N12" s="142" t="s">
        <v>183</v>
      </c>
      <c r="O12" s="124">
        <v>4</v>
      </c>
      <c r="P12" s="129">
        <f t="shared" si="3"/>
        <v>48</v>
      </c>
      <c r="Q12" s="129">
        <f t="shared" si="4"/>
        <v>60</v>
      </c>
      <c r="R12" s="158" t="s">
        <v>158</v>
      </c>
    </row>
    <row r="13" spans="1:18" ht="30">
      <c r="A13" s="113">
        <v>46239</v>
      </c>
      <c r="B13" s="13" t="s">
        <v>69</v>
      </c>
      <c r="C13" s="171">
        <f t="shared" ref="C13:C16" si="5">C12+1</f>
        <v>9</v>
      </c>
      <c r="D13" s="174" t="s">
        <v>248</v>
      </c>
      <c r="E13" s="163"/>
      <c r="F13" s="135" t="s">
        <v>77</v>
      </c>
      <c r="G13" s="155"/>
      <c r="H13" s="135" t="s">
        <v>262</v>
      </c>
      <c r="I13" s="135" t="s">
        <v>212</v>
      </c>
      <c r="J13" s="163"/>
      <c r="L13" s="124" t="s">
        <v>188</v>
      </c>
      <c r="M13" s="147" t="s">
        <v>214</v>
      </c>
      <c r="N13" s="142" t="s">
        <v>187</v>
      </c>
      <c r="O13" s="124">
        <v>4</v>
      </c>
      <c r="P13" s="129">
        <f t="shared" si="3"/>
        <v>48</v>
      </c>
      <c r="Q13" s="129">
        <f t="shared" si="4"/>
        <v>60</v>
      </c>
      <c r="R13" s="235" t="s">
        <v>281</v>
      </c>
    </row>
    <row r="14" spans="1:18" ht="30">
      <c r="A14" s="113">
        <v>46240</v>
      </c>
      <c r="B14" s="13" t="s">
        <v>70</v>
      </c>
      <c r="C14" s="171">
        <f t="shared" si="5"/>
        <v>10</v>
      </c>
      <c r="D14" s="148"/>
      <c r="E14" s="173" t="s">
        <v>268</v>
      </c>
      <c r="F14" s="163"/>
      <c r="G14" s="155"/>
      <c r="H14" s="135" t="s">
        <v>77</v>
      </c>
      <c r="I14" s="140"/>
      <c r="J14" s="135" t="s">
        <v>262</v>
      </c>
      <c r="L14" s="124" t="s">
        <v>190</v>
      </c>
      <c r="M14" s="147" t="s">
        <v>215</v>
      </c>
      <c r="N14" s="142" t="s">
        <v>189</v>
      </c>
      <c r="O14" s="124">
        <v>4</v>
      </c>
      <c r="P14" s="129">
        <f t="shared" si="3"/>
        <v>48</v>
      </c>
      <c r="Q14" s="129">
        <f t="shared" si="4"/>
        <v>60</v>
      </c>
      <c r="R14" s="225" t="s">
        <v>270</v>
      </c>
    </row>
    <row r="15" spans="1:18">
      <c r="A15" s="113">
        <v>46241</v>
      </c>
      <c r="B15" s="13" t="s">
        <v>71</v>
      </c>
      <c r="C15" s="171">
        <f t="shared" si="5"/>
        <v>11</v>
      </c>
      <c r="D15" s="173" t="s">
        <v>268</v>
      </c>
      <c r="E15" s="163"/>
      <c r="F15" s="169" t="s">
        <v>248</v>
      </c>
      <c r="G15" s="155"/>
      <c r="H15" s="135" t="s">
        <v>212</v>
      </c>
      <c r="I15" s="174" t="s">
        <v>271</v>
      </c>
      <c r="J15" s="163"/>
      <c r="L15" s="124" t="s">
        <v>161</v>
      </c>
      <c r="M15" s="147" t="s">
        <v>224</v>
      </c>
      <c r="N15" s="142" t="s">
        <v>160</v>
      </c>
      <c r="O15" s="124">
        <v>4</v>
      </c>
      <c r="P15" s="129">
        <f t="shared" si="3"/>
        <v>48</v>
      </c>
      <c r="Q15" s="129">
        <f t="shared" si="4"/>
        <v>60</v>
      </c>
      <c r="R15" s="235" t="s">
        <v>282</v>
      </c>
    </row>
    <row r="16" spans="1:18">
      <c r="A16" s="113">
        <v>46242</v>
      </c>
      <c r="B16" s="13" t="s">
        <v>72</v>
      </c>
      <c r="C16" s="171">
        <f t="shared" si="5"/>
        <v>12</v>
      </c>
      <c r="D16" s="10"/>
      <c r="E16" s="10"/>
      <c r="F16" s="13"/>
      <c r="G16" s="14"/>
      <c r="H16" s="13" t="s">
        <v>249</v>
      </c>
      <c r="I16" s="13" t="s">
        <v>249</v>
      </c>
      <c r="J16" s="109"/>
      <c r="L16" s="124" t="s">
        <v>165</v>
      </c>
      <c r="M16" s="147" t="s">
        <v>216</v>
      </c>
      <c r="N16" s="142" t="s">
        <v>164</v>
      </c>
      <c r="O16" s="124">
        <v>4</v>
      </c>
      <c r="P16" s="129">
        <f t="shared" ref="P16:P22" si="6">Q16/1.25</f>
        <v>48</v>
      </c>
      <c r="Q16" s="129">
        <f t="shared" ref="Q16:Q22" si="7">O16*15</f>
        <v>60</v>
      </c>
      <c r="R16" s="151" t="s">
        <v>227</v>
      </c>
    </row>
    <row r="17" spans="1:18">
      <c r="A17" s="113">
        <v>46243</v>
      </c>
      <c r="B17" s="13" t="s">
        <v>73</v>
      </c>
      <c r="C17" s="13"/>
      <c r="D17" s="181"/>
      <c r="E17" s="210"/>
      <c r="F17" s="181"/>
      <c r="G17" s="211"/>
      <c r="H17" s="183"/>
      <c r="I17" s="180"/>
      <c r="J17" s="181"/>
      <c r="L17" s="124" t="s">
        <v>169</v>
      </c>
      <c r="M17" s="147" t="s">
        <v>217</v>
      </c>
      <c r="N17" s="142" t="s">
        <v>168</v>
      </c>
      <c r="O17" s="124">
        <v>4</v>
      </c>
      <c r="P17" s="129">
        <f t="shared" si="6"/>
        <v>48</v>
      </c>
      <c r="Q17" s="129">
        <f t="shared" si="7"/>
        <v>60</v>
      </c>
      <c r="R17" s="160" t="s">
        <v>238</v>
      </c>
    </row>
    <row r="18" spans="1:18">
      <c r="A18" s="113">
        <v>46244</v>
      </c>
      <c r="B18" s="13" t="s">
        <v>67</v>
      </c>
      <c r="C18" s="13">
        <f>C16+1</f>
        <v>13</v>
      </c>
      <c r="D18" s="135" t="s">
        <v>212</v>
      </c>
      <c r="E18" s="162"/>
      <c r="F18" s="148" t="s">
        <v>77</v>
      </c>
      <c r="G18" s="155"/>
      <c r="H18" s="251" t="s">
        <v>300</v>
      </c>
      <c r="I18" s="135" t="s">
        <v>226</v>
      </c>
      <c r="J18" s="164"/>
      <c r="K18" s="5" t="s">
        <v>302</v>
      </c>
      <c r="L18" s="124" t="s">
        <v>177</v>
      </c>
      <c r="M18" s="147" t="s">
        <v>199</v>
      </c>
      <c r="N18" s="142" t="s">
        <v>176</v>
      </c>
      <c r="O18" s="124">
        <v>4</v>
      </c>
      <c r="P18" s="129">
        <f t="shared" si="6"/>
        <v>48</v>
      </c>
      <c r="Q18" s="129">
        <f t="shared" si="7"/>
        <v>60</v>
      </c>
      <c r="R18" s="161" t="s">
        <v>228</v>
      </c>
    </row>
    <row r="19" spans="1:18">
      <c r="A19" s="113">
        <v>46245</v>
      </c>
      <c r="B19" s="13" t="s">
        <v>68</v>
      </c>
      <c r="C19" s="13">
        <f>C18+1</f>
        <v>14</v>
      </c>
      <c r="D19" s="245" t="s">
        <v>214</v>
      </c>
      <c r="E19" s="246" t="s">
        <v>298</v>
      </c>
      <c r="F19" s="162"/>
      <c r="G19" s="155"/>
      <c r="H19" s="154" t="s">
        <v>226</v>
      </c>
      <c r="I19" s="148" t="s">
        <v>268</v>
      </c>
      <c r="J19" s="251" t="s">
        <v>297</v>
      </c>
      <c r="L19" s="124" t="s">
        <v>182</v>
      </c>
      <c r="M19" s="147" t="s">
        <v>218</v>
      </c>
      <c r="N19" s="142" t="s">
        <v>181</v>
      </c>
      <c r="O19" s="124">
        <v>4</v>
      </c>
      <c r="P19" s="129">
        <f t="shared" si="6"/>
        <v>48</v>
      </c>
      <c r="Q19" s="129">
        <f t="shared" si="7"/>
        <v>60</v>
      </c>
      <c r="R19" s="159" t="s">
        <v>75</v>
      </c>
    </row>
    <row r="20" spans="1:18" ht="30">
      <c r="A20" s="113">
        <v>46246</v>
      </c>
      <c r="B20" s="13" t="s">
        <v>69</v>
      </c>
      <c r="C20" s="13">
        <f t="shared" ref="C20:C22" si="8">C19+1</f>
        <v>15</v>
      </c>
      <c r="D20" s="135" t="s">
        <v>248</v>
      </c>
      <c r="E20" s="251" t="s">
        <v>300</v>
      </c>
      <c r="F20" s="135" t="s">
        <v>77</v>
      </c>
      <c r="G20" s="155"/>
      <c r="H20" s="155" t="s">
        <v>262</v>
      </c>
      <c r="I20" s="135" t="s">
        <v>212</v>
      </c>
      <c r="J20" s="247" t="s">
        <v>214</v>
      </c>
      <c r="K20" s="5" t="s">
        <v>302</v>
      </c>
      <c r="L20" s="124" t="s">
        <v>186</v>
      </c>
      <c r="M20" s="147" t="s">
        <v>225</v>
      </c>
      <c r="N20" s="142" t="s">
        <v>185</v>
      </c>
      <c r="O20" s="124">
        <v>4</v>
      </c>
      <c r="P20" s="129">
        <f t="shared" si="6"/>
        <v>48</v>
      </c>
      <c r="Q20" s="129">
        <f t="shared" si="7"/>
        <v>60</v>
      </c>
      <c r="R20" s="152" t="s">
        <v>158</v>
      </c>
    </row>
    <row r="21" spans="1:18" ht="30">
      <c r="A21" s="113">
        <v>46247</v>
      </c>
      <c r="B21" s="13" t="s">
        <v>70</v>
      </c>
      <c r="C21" s="13">
        <f t="shared" si="8"/>
        <v>16</v>
      </c>
      <c r="D21" s="245" t="s">
        <v>299</v>
      </c>
      <c r="E21" s="148" t="s">
        <v>268</v>
      </c>
      <c r="F21" s="163"/>
      <c r="G21" s="155"/>
      <c r="H21" s="135" t="s">
        <v>77</v>
      </c>
      <c r="I21" s="141"/>
      <c r="J21" s="155" t="s">
        <v>262</v>
      </c>
      <c r="L21" s="124" t="s">
        <v>192</v>
      </c>
      <c r="M21" s="147" t="s">
        <v>219</v>
      </c>
      <c r="N21" s="122" t="s">
        <v>191</v>
      </c>
      <c r="O21" s="124">
        <v>4</v>
      </c>
      <c r="P21" s="129">
        <f t="shared" si="6"/>
        <v>48</v>
      </c>
      <c r="Q21" s="129">
        <f t="shared" si="7"/>
        <v>60</v>
      </c>
      <c r="R21" s="153" t="s">
        <v>229</v>
      </c>
    </row>
    <row r="22" spans="1:18">
      <c r="A22" s="113">
        <v>46248</v>
      </c>
      <c r="B22" s="13" t="s">
        <v>71</v>
      </c>
      <c r="C22" s="13">
        <f t="shared" si="8"/>
        <v>17</v>
      </c>
      <c r="D22" s="148" t="s">
        <v>268</v>
      </c>
      <c r="E22" s="163"/>
      <c r="F22" s="156" t="s">
        <v>248</v>
      </c>
      <c r="G22" s="155"/>
      <c r="H22" s="135" t="s">
        <v>212</v>
      </c>
      <c r="I22" s="135" t="s">
        <v>297</v>
      </c>
      <c r="J22" s="247" t="s">
        <v>214</v>
      </c>
      <c r="L22" s="147"/>
      <c r="M22" s="147" t="s">
        <v>300</v>
      </c>
      <c r="N22" s="234" t="s">
        <v>239</v>
      </c>
      <c r="O22" s="7">
        <v>3</v>
      </c>
      <c r="P22" s="7">
        <f t="shared" si="6"/>
        <v>36</v>
      </c>
      <c r="Q22" s="7">
        <f t="shared" si="7"/>
        <v>45</v>
      </c>
      <c r="R22" s="138" t="s">
        <v>280</v>
      </c>
    </row>
    <row r="23" spans="1:18">
      <c r="A23" s="113">
        <v>46249</v>
      </c>
      <c r="B23" s="13" t="s">
        <v>72</v>
      </c>
      <c r="C23" s="114" t="s">
        <v>23</v>
      </c>
      <c r="D23" s="10"/>
      <c r="E23" s="10"/>
      <c r="F23" s="13"/>
      <c r="G23" s="14"/>
      <c r="H23" s="13"/>
      <c r="I23" s="13"/>
      <c r="J23" s="109"/>
      <c r="L23" s="4"/>
      <c r="M23" s="4"/>
      <c r="N23" s="122" t="s">
        <v>236</v>
      </c>
      <c r="O23" s="129">
        <v>3</v>
      </c>
      <c r="P23" s="129">
        <f>Q23/1.25</f>
        <v>36</v>
      </c>
      <c r="Q23" s="129">
        <f>O23*15</f>
        <v>45</v>
      </c>
      <c r="R23" s="138" t="s">
        <v>237</v>
      </c>
    </row>
    <row r="24" spans="1:18" hidden="1">
      <c r="A24" s="113">
        <v>46250</v>
      </c>
      <c r="B24" s="13" t="s">
        <v>73</v>
      </c>
      <c r="C24" s="114"/>
      <c r="D24" s="175"/>
      <c r="E24" s="176"/>
      <c r="F24" s="175"/>
      <c r="G24" s="177"/>
      <c r="H24" s="178"/>
      <c r="I24" s="179"/>
      <c r="J24" s="175"/>
      <c r="N24" s="28"/>
      <c r="O24" s="28"/>
      <c r="P24" s="1"/>
    </row>
    <row r="25" spans="1:18" hidden="1">
      <c r="A25" s="113">
        <v>46251</v>
      </c>
      <c r="B25" s="13" t="s">
        <v>67</v>
      </c>
      <c r="C25" s="227">
        <f>C22+1</f>
        <v>18</v>
      </c>
      <c r="D25" s="135" t="s">
        <v>212</v>
      </c>
      <c r="E25" s="162"/>
      <c r="F25" s="148" t="s">
        <v>77</v>
      </c>
      <c r="G25" s="155"/>
      <c r="H25" s="251" t="s">
        <v>300</v>
      </c>
      <c r="I25" s="135" t="s">
        <v>226</v>
      </c>
      <c r="J25" s="164"/>
      <c r="K25" s="5" t="s">
        <v>302</v>
      </c>
    </row>
    <row r="26" spans="1:18" hidden="1">
      <c r="A26" s="113">
        <v>46252</v>
      </c>
      <c r="B26" s="13" t="s">
        <v>68</v>
      </c>
      <c r="C26" s="227">
        <f>C25+1</f>
        <v>19</v>
      </c>
      <c r="D26" s="250" t="s">
        <v>214</v>
      </c>
      <c r="E26" s="246" t="s">
        <v>298</v>
      </c>
      <c r="F26" s="162"/>
      <c r="G26" s="155"/>
      <c r="H26" s="154" t="s">
        <v>226</v>
      </c>
      <c r="I26" s="148" t="s">
        <v>268</v>
      </c>
      <c r="J26" s="251" t="s">
        <v>297</v>
      </c>
      <c r="N26" s="28"/>
      <c r="O26" s="28"/>
      <c r="P26" s="1"/>
      <c r="Q26" s="1"/>
    </row>
    <row r="27" spans="1:18" ht="30" hidden="1">
      <c r="A27" s="113">
        <v>46253</v>
      </c>
      <c r="B27" s="13" t="s">
        <v>69</v>
      </c>
      <c r="C27" s="227">
        <f t="shared" ref="C27:C30" si="9">C26+1</f>
        <v>20</v>
      </c>
      <c r="D27" s="135" t="s">
        <v>248</v>
      </c>
      <c r="E27" s="251" t="s">
        <v>300</v>
      </c>
      <c r="F27" s="135" t="s">
        <v>77</v>
      </c>
      <c r="G27" s="155"/>
      <c r="H27" s="155" t="s">
        <v>262</v>
      </c>
      <c r="I27" s="135" t="s">
        <v>212</v>
      </c>
      <c r="J27" s="250" t="s">
        <v>214</v>
      </c>
      <c r="K27" s="5" t="s">
        <v>302</v>
      </c>
    </row>
    <row r="28" spans="1:18" ht="30" hidden="1">
      <c r="A28" s="113">
        <v>46254</v>
      </c>
      <c r="B28" s="13" t="s">
        <v>70</v>
      </c>
      <c r="C28" s="227">
        <f t="shared" si="9"/>
        <v>21</v>
      </c>
      <c r="D28" s="250" t="s">
        <v>299</v>
      </c>
      <c r="E28" s="148" t="s">
        <v>268</v>
      </c>
      <c r="F28" s="163"/>
      <c r="G28" s="155"/>
      <c r="H28" s="135" t="s">
        <v>77</v>
      </c>
      <c r="I28" s="140"/>
      <c r="J28" s="155" t="s">
        <v>262</v>
      </c>
      <c r="M28" s="3" t="s">
        <v>80</v>
      </c>
    </row>
    <row r="29" spans="1:18" hidden="1">
      <c r="A29" s="113">
        <v>46255</v>
      </c>
      <c r="B29" s="13" t="s">
        <v>71</v>
      </c>
      <c r="C29" s="227">
        <f t="shared" si="9"/>
        <v>22</v>
      </c>
      <c r="D29" s="148" t="s">
        <v>268</v>
      </c>
      <c r="E29" s="163"/>
      <c r="F29" s="156" t="s">
        <v>248</v>
      </c>
      <c r="G29" s="155"/>
      <c r="H29" s="135" t="s">
        <v>212</v>
      </c>
      <c r="I29" s="135" t="s">
        <v>297</v>
      </c>
      <c r="J29" s="250" t="s">
        <v>214</v>
      </c>
    </row>
    <row r="30" spans="1:18" hidden="1">
      <c r="A30" s="113">
        <v>46256</v>
      </c>
      <c r="B30" s="13" t="s">
        <v>72</v>
      </c>
      <c r="C30" s="227">
        <f t="shared" si="9"/>
        <v>23</v>
      </c>
      <c r="D30" s="10"/>
      <c r="E30" s="10"/>
      <c r="F30" s="13"/>
      <c r="G30" s="14"/>
      <c r="H30" s="13" t="s">
        <v>218</v>
      </c>
      <c r="I30" s="13" t="s">
        <v>218</v>
      </c>
      <c r="J30" s="109"/>
    </row>
    <row r="31" spans="1:18" hidden="1">
      <c r="A31" s="113">
        <v>46257</v>
      </c>
      <c r="B31" s="13" t="s">
        <v>73</v>
      </c>
      <c r="C31" s="227"/>
      <c r="D31" s="13"/>
      <c r="E31" s="12"/>
      <c r="F31" s="13"/>
      <c r="G31" s="15"/>
      <c r="H31" s="109"/>
      <c r="I31" s="13"/>
      <c r="J31" s="13"/>
    </row>
    <row r="32" spans="1:18" hidden="1">
      <c r="A32" s="113">
        <v>46258</v>
      </c>
      <c r="B32" s="13" t="s">
        <v>67</v>
      </c>
      <c r="C32" s="227">
        <f>C29+1</f>
        <v>23</v>
      </c>
      <c r="D32" s="135" t="s">
        <v>212</v>
      </c>
      <c r="E32" s="162"/>
      <c r="F32" s="148" t="s">
        <v>77</v>
      </c>
      <c r="G32" s="155"/>
      <c r="H32" s="251" t="s">
        <v>300</v>
      </c>
      <c r="I32" s="135" t="s">
        <v>226</v>
      </c>
      <c r="J32" s="164"/>
      <c r="K32" s="5" t="s">
        <v>302</v>
      </c>
    </row>
    <row r="33" spans="1:18" hidden="1">
      <c r="A33" s="113">
        <v>46259</v>
      </c>
      <c r="B33" s="13" t="s">
        <v>68</v>
      </c>
      <c r="C33" s="227">
        <f>C32+1</f>
        <v>24</v>
      </c>
      <c r="D33" s="250" t="s">
        <v>214</v>
      </c>
      <c r="E33" s="246" t="s">
        <v>298</v>
      </c>
      <c r="F33" s="162"/>
      <c r="G33" s="155"/>
      <c r="H33" s="154" t="s">
        <v>226</v>
      </c>
      <c r="I33" s="148" t="s">
        <v>268</v>
      </c>
      <c r="J33" s="251" t="s">
        <v>297</v>
      </c>
    </row>
    <row r="34" spans="1:18" ht="30" hidden="1">
      <c r="A34" s="113">
        <v>46260</v>
      </c>
      <c r="B34" s="13" t="s">
        <v>69</v>
      </c>
      <c r="C34" s="227">
        <f t="shared" ref="C34:C35" si="10">C33+1</f>
        <v>25</v>
      </c>
      <c r="D34" s="135" t="s">
        <v>248</v>
      </c>
      <c r="E34" s="251" t="s">
        <v>300</v>
      </c>
      <c r="F34" s="135" t="s">
        <v>77</v>
      </c>
      <c r="G34" s="155"/>
      <c r="H34" s="155" t="s">
        <v>262</v>
      </c>
      <c r="I34" s="135" t="s">
        <v>212</v>
      </c>
      <c r="J34" s="250" t="s">
        <v>214</v>
      </c>
      <c r="K34" s="5" t="s">
        <v>302</v>
      </c>
    </row>
    <row r="35" spans="1:18" ht="30" hidden="1">
      <c r="A35" s="113">
        <v>46261</v>
      </c>
      <c r="B35" s="13" t="s">
        <v>70</v>
      </c>
      <c r="C35" s="227">
        <f t="shared" si="10"/>
        <v>26</v>
      </c>
      <c r="D35" s="250" t="s">
        <v>299</v>
      </c>
      <c r="E35" s="148" t="s">
        <v>268</v>
      </c>
      <c r="F35" s="163"/>
      <c r="G35" s="155"/>
      <c r="H35" s="135" t="s">
        <v>77</v>
      </c>
      <c r="I35" s="140"/>
      <c r="J35" s="155" t="s">
        <v>262</v>
      </c>
    </row>
    <row r="36" spans="1:18" hidden="1">
      <c r="A36" s="113">
        <v>46262</v>
      </c>
      <c r="B36" s="13" t="s">
        <v>71</v>
      </c>
      <c r="C36" s="227" t="s">
        <v>22</v>
      </c>
      <c r="D36" s="148" t="s">
        <v>268</v>
      </c>
      <c r="E36" s="163"/>
      <c r="F36" s="156" t="s">
        <v>248</v>
      </c>
      <c r="G36" s="155"/>
      <c r="H36" s="135" t="s">
        <v>212</v>
      </c>
      <c r="I36" s="135" t="s">
        <v>297</v>
      </c>
      <c r="J36" s="250" t="s">
        <v>214</v>
      </c>
    </row>
    <row r="37" spans="1:18" hidden="1">
      <c r="A37" s="113">
        <v>46263</v>
      </c>
      <c r="B37" s="13" t="s">
        <v>72</v>
      </c>
      <c r="C37" s="228">
        <f>C35+1</f>
        <v>27</v>
      </c>
      <c r="D37" s="10"/>
      <c r="E37" s="10"/>
      <c r="F37" s="13"/>
      <c r="G37" s="14"/>
      <c r="H37" s="13" t="s">
        <v>218</v>
      </c>
      <c r="I37" s="13" t="s">
        <v>218</v>
      </c>
      <c r="J37" s="109"/>
    </row>
    <row r="38" spans="1:18">
      <c r="A38" s="113">
        <v>46264</v>
      </c>
      <c r="B38" s="13" t="s">
        <v>73</v>
      </c>
      <c r="C38" s="115"/>
      <c r="D38" s="181"/>
      <c r="E38" s="181"/>
      <c r="F38" s="181"/>
      <c r="G38" s="211"/>
      <c r="H38" s="183"/>
      <c r="I38" s="180"/>
      <c r="J38" s="181"/>
    </row>
    <row r="39" spans="1:18">
      <c r="A39" s="113">
        <v>46265</v>
      </c>
      <c r="B39" s="13" t="s">
        <v>67</v>
      </c>
      <c r="C39" s="114">
        <f>C37+1</f>
        <v>28</v>
      </c>
      <c r="D39" s="135" t="s">
        <v>212</v>
      </c>
      <c r="E39" s="162"/>
      <c r="F39" s="148" t="s">
        <v>77</v>
      </c>
      <c r="G39" s="155"/>
      <c r="H39" s="251" t="s">
        <v>300</v>
      </c>
      <c r="I39" s="135" t="s">
        <v>226</v>
      </c>
      <c r="J39" s="164"/>
      <c r="K39" s="5" t="s">
        <v>302</v>
      </c>
    </row>
    <row r="40" spans="1:18">
      <c r="A40" s="113">
        <v>46266</v>
      </c>
      <c r="B40" s="13" t="s">
        <v>68</v>
      </c>
      <c r="C40" s="114">
        <f>C39+1</f>
        <v>29</v>
      </c>
      <c r="D40" s="250" t="s">
        <v>214</v>
      </c>
      <c r="E40" s="246" t="s">
        <v>298</v>
      </c>
      <c r="F40" s="162"/>
      <c r="G40" s="155"/>
      <c r="H40" s="154" t="s">
        <v>226</v>
      </c>
      <c r="I40" s="148" t="s">
        <v>268</v>
      </c>
      <c r="J40" s="251" t="s">
        <v>297</v>
      </c>
    </row>
    <row r="41" spans="1:18" ht="30">
      <c r="A41" s="113">
        <v>46267</v>
      </c>
      <c r="B41" s="13" t="s">
        <v>69</v>
      </c>
      <c r="C41" s="114">
        <f t="shared" ref="C41:C42" si="11">C40+1</f>
        <v>30</v>
      </c>
      <c r="D41" s="135" t="s">
        <v>248</v>
      </c>
      <c r="E41" s="251" t="s">
        <v>300</v>
      </c>
      <c r="F41" s="135" t="s">
        <v>77</v>
      </c>
      <c r="G41" s="155"/>
      <c r="H41" s="155" t="s">
        <v>262</v>
      </c>
      <c r="I41" s="135" t="s">
        <v>212</v>
      </c>
      <c r="J41" s="250" t="s">
        <v>214</v>
      </c>
      <c r="K41" s="5" t="s">
        <v>302</v>
      </c>
    </row>
    <row r="42" spans="1:18" ht="30">
      <c r="A42" s="113">
        <v>46268</v>
      </c>
      <c r="B42" s="13" t="s">
        <v>70</v>
      </c>
      <c r="C42" s="114">
        <f t="shared" si="11"/>
        <v>31</v>
      </c>
      <c r="D42" s="250" t="s">
        <v>299</v>
      </c>
      <c r="E42" s="148" t="s">
        <v>268</v>
      </c>
      <c r="F42" s="163"/>
      <c r="G42" s="155"/>
      <c r="H42" s="135" t="s">
        <v>77</v>
      </c>
      <c r="I42" s="140"/>
      <c r="J42" s="155" t="s">
        <v>262</v>
      </c>
    </row>
    <row r="43" spans="1:18">
      <c r="A43" s="113">
        <v>46269</v>
      </c>
      <c r="B43" s="13" t="s">
        <v>71</v>
      </c>
      <c r="C43" s="114" t="s">
        <v>81</v>
      </c>
      <c r="D43" s="148"/>
      <c r="E43" s="163"/>
      <c r="F43" s="156"/>
      <c r="G43" s="155"/>
      <c r="H43" s="135"/>
      <c r="I43" s="135"/>
      <c r="J43" s="250"/>
    </row>
    <row r="44" spans="1:18">
      <c r="A44" s="113">
        <v>46270</v>
      </c>
      <c r="B44" s="13" t="s">
        <v>72</v>
      </c>
      <c r="C44" s="12">
        <f>C42+1</f>
        <v>32</v>
      </c>
      <c r="D44" s="10"/>
      <c r="E44" s="10"/>
      <c r="F44" s="13"/>
      <c r="G44" s="14"/>
      <c r="H44" s="13" t="s">
        <v>218</v>
      </c>
      <c r="I44" s="13" t="s">
        <v>218</v>
      </c>
      <c r="J44" s="109"/>
    </row>
    <row r="45" spans="1:18">
      <c r="A45" s="113">
        <v>46271</v>
      </c>
      <c r="B45" s="13" t="s">
        <v>73</v>
      </c>
      <c r="C45" s="114"/>
      <c r="D45" s="13"/>
      <c r="E45" s="12"/>
      <c r="F45" s="13"/>
      <c r="G45" s="15"/>
      <c r="H45" s="109"/>
      <c r="I45" s="10"/>
      <c r="J45" s="13"/>
    </row>
    <row r="46" spans="1:18">
      <c r="A46" s="113">
        <v>46272</v>
      </c>
      <c r="B46" s="13" t="s">
        <v>67</v>
      </c>
      <c r="C46" s="114">
        <f>C44+1</f>
        <v>33</v>
      </c>
      <c r="D46" s="135" t="s">
        <v>212</v>
      </c>
      <c r="E46" s="162"/>
      <c r="F46" s="148" t="s">
        <v>77</v>
      </c>
      <c r="G46" s="155"/>
      <c r="H46" s="251" t="s">
        <v>300</v>
      </c>
      <c r="I46" s="135" t="s">
        <v>226</v>
      </c>
      <c r="J46" s="164"/>
      <c r="K46" s="5" t="s">
        <v>330</v>
      </c>
    </row>
    <row r="47" spans="1:18">
      <c r="A47" s="113">
        <v>46273</v>
      </c>
      <c r="B47" s="13" t="s">
        <v>68</v>
      </c>
      <c r="C47" s="114">
        <f>C46+1</f>
        <v>34</v>
      </c>
      <c r="D47" s="250" t="s">
        <v>214</v>
      </c>
      <c r="E47" s="246" t="s">
        <v>298</v>
      </c>
      <c r="F47" s="162"/>
      <c r="G47" s="155"/>
      <c r="H47" s="154" t="s">
        <v>226</v>
      </c>
      <c r="I47" s="148" t="s">
        <v>268</v>
      </c>
      <c r="J47" s="251" t="s">
        <v>297</v>
      </c>
      <c r="N47" s="28"/>
      <c r="O47" s="5"/>
      <c r="P47" s="1"/>
      <c r="Q47" s="1"/>
      <c r="R47" s="1"/>
    </row>
    <row r="48" spans="1:18" ht="30">
      <c r="A48" s="113">
        <v>46274</v>
      </c>
      <c r="B48" s="13" t="s">
        <v>69</v>
      </c>
      <c r="C48" s="114">
        <f t="shared" ref="C48:C51" si="12">C47+1</f>
        <v>35</v>
      </c>
      <c r="D48" s="135" t="s">
        <v>248</v>
      </c>
      <c r="E48" s="251" t="s">
        <v>300</v>
      </c>
      <c r="F48" s="135" t="s">
        <v>77</v>
      </c>
      <c r="G48" s="155"/>
      <c r="H48" s="155" t="s">
        <v>262</v>
      </c>
      <c r="I48" s="135" t="s">
        <v>212</v>
      </c>
      <c r="J48" s="250" t="s">
        <v>214</v>
      </c>
      <c r="K48" s="5" t="s">
        <v>302</v>
      </c>
      <c r="N48" s="28"/>
      <c r="O48" s="5"/>
      <c r="P48" s="1"/>
      <c r="Q48" s="1"/>
      <c r="R48" s="1"/>
    </row>
    <row r="49" spans="1:18" ht="30">
      <c r="A49" s="113">
        <v>46275</v>
      </c>
      <c r="B49" s="13" t="s">
        <v>70</v>
      </c>
      <c r="C49" s="114">
        <f t="shared" si="12"/>
        <v>36</v>
      </c>
      <c r="D49" s="250" t="s">
        <v>299</v>
      </c>
      <c r="E49" s="148" t="s">
        <v>268</v>
      </c>
      <c r="F49" s="163"/>
      <c r="G49" s="155"/>
      <c r="H49" s="135" t="s">
        <v>77</v>
      </c>
      <c r="I49" s="140"/>
      <c r="J49" s="155" t="s">
        <v>262</v>
      </c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114">
        <f t="shared" si="12"/>
        <v>37</v>
      </c>
      <c r="D50" s="148" t="s">
        <v>268</v>
      </c>
      <c r="E50" s="163"/>
      <c r="F50" s="156" t="s">
        <v>248</v>
      </c>
      <c r="G50" s="155"/>
      <c r="H50" s="135" t="s">
        <v>212</v>
      </c>
      <c r="I50" s="135" t="s">
        <v>297</v>
      </c>
      <c r="J50" s="250" t="s">
        <v>214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12"/>
        <v>38</v>
      </c>
      <c r="D51" s="10"/>
      <c r="E51" s="10"/>
      <c r="F51" s="13"/>
      <c r="G51" s="14"/>
      <c r="H51" s="13" t="s">
        <v>218</v>
      </c>
      <c r="I51" s="13" t="s">
        <v>218</v>
      </c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O52" s="5"/>
      <c r="P52" s="1"/>
      <c r="Q52" s="1"/>
      <c r="R52" s="1"/>
    </row>
  </sheetData>
  <mergeCells count="2">
    <mergeCell ref="A1:J1"/>
    <mergeCell ref="A2:J2"/>
  </mergeCells>
  <phoneticPr fontId="1" type="noConversion"/>
  <conditionalFormatting sqref="B1:B2">
    <cfRule type="cellIs" dxfId="5" priority="4" operator="equal">
      <formula>"Sat"</formula>
    </cfRule>
  </conditionalFormatting>
  <conditionalFormatting sqref="B4:B52">
    <cfRule type="containsText" dxfId="4" priority="1" operator="containsText" text="Sun">
      <formula>NOT(ISERROR(SEARCH("Sun",B4)))</formula>
    </cfRule>
  </conditionalFormatting>
  <conditionalFormatting sqref="B60:B1048576">
    <cfRule type="cellIs" dxfId="3" priority="2" operator="equal">
      <formula>"Sat"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93AC-44BD-43EC-84F4-980F634EB4D5}">
  <dimension ref="A1:R52"/>
  <sheetViews>
    <sheetView topLeftCell="A13" zoomScale="90" zoomScaleNormal="90" workbookViewId="0">
      <selection activeCell="S13" sqref="S1:U1048576"/>
    </sheetView>
  </sheetViews>
  <sheetFormatPr defaultRowHeight="15"/>
  <cols>
    <col min="1" max="1" width="10.140625" style="103" bestFit="1" customWidth="1"/>
    <col min="2" max="2" width="10.85546875" style="104" customWidth="1"/>
    <col min="3" max="3" width="14.5703125" style="104" bestFit="1" customWidth="1"/>
    <col min="4" max="4" width="13.28515625" style="101" bestFit="1" customWidth="1"/>
    <col min="5" max="5" width="11.85546875" style="101" bestFit="1" customWidth="1"/>
    <col min="6" max="6" width="16.7109375" style="101" bestFit="1" customWidth="1"/>
    <col min="7" max="7" width="11.85546875" style="101" bestFit="1" customWidth="1"/>
    <col min="8" max="8" width="16.42578125" style="101" customWidth="1"/>
    <col min="9" max="9" width="16.42578125" style="101" bestFit="1" customWidth="1"/>
    <col min="10" max="10" width="11.85546875" style="101" bestFit="1" customWidth="1"/>
    <col min="11" max="11" width="15.5703125" style="28" customWidth="1"/>
    <col min="12" max="12" width="13.42578125" style="3" bestFit="1" customWidth="1"/>
    <col min="13" max="13" width="9.42578125" style="3" bestFit="1" customWidth="1"/>
    <col min="14" max="14" width="48.28515625" style="5" bestFit="1" customWidth="1"/>
    <col min="15" max="15" width="7" style="1" bestFit="1" customWidth="1"/>
    <col min="16" max="16" width="9.140625" style="5" bestFit="1"/>
    <col min="17" max="17" width="5.5703125" style="5" bestFit="1" customWidth="1"/>
    <col min="18" max="18" width="25.85546875" style="5" bestFit="1" customWidth="1"/>
    <col min="19" max="16384" width="9.140625" style="5"/>
  </cols>
  <sheetData>
    <row r="1" spans="1:18" ht="21">
      <c r="A1" s="276" t="s">
        <v>21</v>
      </c>
      <c r="B1" s="276"/>
      <c r="C1" s="276"/>
      <c r="D1" s="276"/>
      <c r="E1" s="276"/>
      <c r="F1" s="276"/>
      <c r="G1" s="276"/>
      <c r="H1" s="276"/>
      <c r="I1" s="276"/>
      <c r="J1" s="276"/>
    </row>
    <row r="2" spans="1:18" ht="18.75">
      <c r="A2" s="277" t="s">
        <v>260</v>
      </c>
      <c r="B2" s="277"/>
      <c r="C2" s="277"/>
      <c r="D2" s="277"/>
      <c r="E2" s="277"/>
      <c r="F2" s="277"/>
      <c r="G2" s="277"/>
      <c r="H2" s="277"/>
      <c r="I2" s="277"/>
      <c r="J2" s="277"/>
    </row>
    <row r="3" spans="1:18" s="3" customFormat="1">
      <c r="A3" s="13" t="s">
        <v>5</v>
      </c>
      <c r="B3" s="13" t="s">
        <v>0</v>
      </c>
      <c r="C3" s="13" t="s">
        <v>66</v>
      </c>
      <c r="D3" s="13" t="s">
        <v>8</v>
      </c>
      <c r="E3" s="13" t="s">
        <v>11</v>
      </c>
      <c r="F3" s="13" t="s">
        <v>12</v>
      </c>
      <c r="G3" s="11" t="s">
        <v>13</v>
      </c>
      <c r="H3" s="13" t="s">
        <v>14</v>
      </c>
      <c r="I3" s="13" t="s">
        <v>15</v>
      </c>
      <c r="J3" s="13" t="s">
        <v>16</v>
      </c>
      <c r="K3" s="29"/>
      <c r="L3" s="4" t="s">
        <v>17</v>
      </c>
      <c r="M3" s="106" t="s">
        <v>18</v>
      </c>
      <c r="N3" s="4" t="s">
        <v>1</v>
      </c>
      <c r="O3" s="4" t="s">
        <v>2</v>
      </c>
      <c r="P3" s="4" t="s">
        <v>3</v>
      </c>
      <c r="Q3" s="4" t="s">
        <v>6</v>
      </c>
      <c r="R3" s="4" t="s">
        <v>4</v>
      </c>
    </row>
    <row r="4" spans="1:18">
      <c r="A4" s="113">
        <v>46230</v>
      </c>
      <c r="B4" s="13" t="s">
        <v>67</v>
      </c>
      <c r="C4" s="13">
        <v>1</v>
      </c>
      <c r="D4" s="163"/>
      <c r="E4" s="154" t="s">
        <v>77</v>
      </c>
      <c r="F4" s="165"/>
      <c r="G4" s="155"/>
      <c r="H4" s="135" t="s">
        <v>226</v>
      </c>
      <c r="I4" s="163"/>
      <c r="J4" s="156" t="s">
        <v>212</v>
      </c>
      <c r="K4" s="240"/>
      <c r="L4" s="124" t="s">
        <v>171</v>
      </c>
      <c r="M4" s="105" t="s">
        <v>212</v>
      </c>
      <c r="N4" s="122" t="s">
        <v>170</v>
      </c>
      <c r="O4" s="123">
        <v>3</v>
      </c>
      <c r="P4" s="7">
        <f>Q4/1.25</f>
        <v>36</v>
      </c>
      <c r="Q4" s="7">
        <f>O4*15</f>
        <v>45</v>
      </c>
      <c r="R4" s="138" t="s">
        <v>159</v>
      </c>
    </row>
    <row r="5" spans="1:18">
      <c r="A5" s="113">
        <v>46231</v>
      </c>
      <c r="B5" s="13" t="s">
        <v>68</v>
      </c>
      <c r="C5" s="13">
        <f>C4+1</f>
        <v>2</v>
      </c>
      <c r="D5" s="148"/>
      <c r="E5" s="165"/>
      <c r="F5" s="154" t="s">
        <v>77</v>
      </c>
      <c r="G5" s="155"/>
      <c r="H5" s="162"/>
      <c r="I5" s="148" t="s">
        <v>261</v>
      </c>
      <c r="J5" s="135" t="s">
        <v>224</v>
      </c>
      <c r="K5" s="240"/>
      <c r="L5" s="124" t="s">
        <v>193</v>
      </c>
      <c r="M5" s="105" t="s">
        <v>77</v>
      </c>
      <c r="N5" s="122" t="s">
        <v>74</v>
      </c>
      <c r="O5" s="123">
        <v>3</v>
      </c>
      <c r="P5" s="7">
        <f t="shared" ref="P5:P6" si="0">Q5/1.25</f>
        <v>36</v>
      </c>
      <c r="Q5" s="7">
        <f t="shared" ref="Q5:Q6" si="1">O5*15</f>
        <v>45</v>
      </c>
      <c r="R5" s="149" t="s">
        <v>111</v>
      </c>
    </row>
    <row r="6" spans="1:18">
      <c r="A6" s="113">
        <v>46232</v>
      </c>
      <c r="B6" s="13" t="s">
        <v>69</v>
      </c>
      <c r="C6" s="13">
        <f t="shared" ref="C6:C9" si="2">C5+1</f>
        <v>3</v>
      </c>
      <c r="D6" s="135" t="s">
        <v>252</v>
      </c>
      <c r="E6" s="135" t="s">
        <v>212</v>
      </c>
      <c r="F6" s="163"/>
      <c r="G6" s="155"/>
      <c r="H6" s="135" t="s">
        <v>250</v>
      </c>
      <c r="I6" s="163"/>
      <c r="J6" s="135"/>
      <c r="L6" s="124" t="s">
        <v>173</v>
      </c>
      <c r="M6" s="105" t="s">
        <v>220</v>
      </c>
      <c r="N6" s="122" t="s">
        <v>172</v>
      </c>
      <c r="O6" s="123">
        <v>2</v>
      </c>
      <c r="P6" s="7">
        <f t="shared" si="0"/>
        <v>24</v>
      </c>
      <c r="Q6" s="7">
        <f t="shared" si="1"/>
        <v>30</v>
      </c>
      <c r="R6" s="138" t="s">
        <v>107</v>
      </c>
    </row>
    <row r="7" spans="1:18">
      <c r="A7" s="113">
        <v>46233</v>
      </c>
      <c r="B7" s="13" t="s">
        <v>70</v>
      </c>
      <c r="C7" s="13">
        <f t="shared" si="2"/>
        <v>4</v>
      </c>
      <c r="D7" s="165"/>
      <c r="E7" s="148" t="s">
        <v>261</v>
      </c>
      <c r="F7" s="135" t="s">
        <v>77</v>
      </c>
      <c r="G7" s="155"/>
      <c r="H7" s="163"/>
      <c r="I7" s="101" t="s">
        <v>212</v>
      </c>
      <c r="J7" s="135" t="s">
        <v>262</v>
      </c>
      <c r="L7" s="124"/>
      <c r="M7" s="147" t="s">
        <v>226</v>
      </c>
      <c r="N7" s="142" t="s">
        <v>246</v>
      </c>
      <c r="O7" s="124">
        <v>4</v>
      </c>
      <c r="P7" s="129">
        <f>Q7/1.25</f>
        <v>48</v>
      </c>
      <c r="Q7" s="129">
        <f>O7*15</f>
        <v>60</v>
      </c>
      <c r="R7" s="149" t="s">
        <v>178</v>
      </c>
    </row>
    <row r="8" spans="1:18">
      <c r="A8" s="113">
        <v>46234</v>
      </c>
      <c r="B8" s="13" t="s">
        <v>71</v>
      </c>
      <c r="C8" s="13">
        <f t="shared" si="2"/>
        <v>5</v>
      </c>
      <c r="D8" s="148" t="s">
        <v>261</v>
      </c>
      <c r="E8" s="135" t="s">
        <v>226</v>
      </c>
      <c r="F8" s="156" t="s">
        <v>252</v>
      </c>
      <c r="G8" s="155"/>
      <c r="H8" s="163"/>
      <c r="I8" s="135" t="s">
        <v>224</v>
      </c>
      <c r="J8" s="135"/>
      <c r="L8" s="124" t="s">
        <v>163</v>
      </c>
      <c r="M8" s="146" t="s">
        <v>78</v>
      </c>
      <c r="N8" s="142" t="s">
        <v>162</v>
      </c>
      <c r="O8" s="124">
        <v>4</v>
      </c>
      <c r="P8" s="129">
        <f t="shared" ref="P8:P22" si="3">Q8/1.25</f>
        <v>48</v>
      </c>
      <c r="Q8" s="129">
        <f t="shared" ref="Q8:Q22" si="4">O8*15</f>
        <v>60</v>
      </c>
      <c r="R8" s="150" t="s">
        <v>238</v>
      </c>
    </row>
    <row r="9" spans="1:18">
      <c r="A9" s="113">
        <v>46235</v>
      </c>
      <c r="B9" s="13" t="s">
        <v>72</v>
      </c>
      <c r="C9" s="13">
        <f t="shared" si="2"/>
        <v>6</v>
      </c>
      <c r="D9" s="10"/>
      <c r="E9" s="10"/>
      <c r="F9" s="13"/>
      <c r="G9" s="14"/>
      <c r="H9" s="13" t="s">
        <v>249</v>
      </c>
      <c r="I9" s="13" t="s">
        <v>249</v>
      </c>
      <c r="J9" s="109"/>
      <c r="L9" s="124" t="s">
        <v>167</v>
      </c>
      <c r="M9" s="147" t="s">
        <v>213</v>
      </c>
      <c r="N9" s="142" t="s">
        <v>166</v>
      </c>
      <c r="O9" s="124">
        <v>4</v>
      </c>
      <c r="P9" s="129">
        <f t="shared" si="3"/>
        <v>48</v>
      </c>
      <c r="Q9" s="129">
        <f t="shared" si="4"/>
        <v>60</v>
      </c>
      <c r="R9" s="157" t="s">
        <v>235</v>
      </c>
    </row>
    <row r="10" spans="1:18">
      <c r="A10" s="113">
        <v>46236</v>
      </c>
      <c r="B10" s="13" t="s">
        <v>73</v>
      </c>
      <c r="C10" s="13"/>
      <c r="D10" s="175"/>
      <c r="E10" s="176"/>
      <c r="F10" s="175"/>
      <c r="G10" s="177"/>
      <c r="H10" s="178"/>
      <c r="I10" s="179"/>
      <c r="J10" s="175"/>
      <c r="L10" s="124" t="s">
        <v>175</v>
      </c>
      <c r="M10" s="147" t="s">
        <v>221</v>
      </c>
      <c r="N10" s="142" t="s">
        <v>174</v>
      </c>
      <c r="O10" s="124">
        <v>4</v>
      </c>
      <c r="P10" s="129">
        <f t="shared" si="3"/>
        <v>48</v>
      </c>
      <c r="Q10" s="129">
        <f t="shared" si="4"/>
        <v>60</v>
      </c>
      <c r="R10" s="151" t="s">
        <v>112</v>
      </c>
    </row>
    <row r="11" spans="1:18">
      <c r="A11" s="113">
        <v>46237</v>
      </c>
      <c r="B11" s="13" t="s">
        <v>67</v>
      </c>
      <c r="C11" s="171">
        <f>C9+1</f>
        <v>7</v>
      </c>
      <c r="D11" s="163"/>
      <c r="E11" s="154" t="s">
        <v>77</v>
      </c>
      <c r="F11" s="165"/>
      <c r="G11" s="155"/>
      <c r="H11" s="135" t="s">
        <v>226</v>
      </c>
      <c r="I11" s="163"/>
      <c r="J11" s="156" t="s">
        <v>212</v>
      </c>
      <c r="L11" s="124" t="s">
        <v>180</v>
      </c>
      <c r="M11" s="147" t="s">
        <v>222</v>
      </c>
      <c r="N11" s="142" t="s">
        <v>179</v>
      </c>
      <c r="O11" s="124">
        <v>4</v>
      </c>
      <c r="P11" s="129">
        <f t="shared" si="3"/>
        <v>48</v>
      </c>
      <c r="Q11" s="129">
        <f t="shared" si="4"/>
        <v>60</v>
      </c>
      <c r="R11" s="151" t="s">
        <v>79</v>
      </c>
    </row>
    <row r="12" spans="1:18" ht="30">
      <c r="A12" s="113">
        <v>46238</v>
      </c>
      <c r="B12" s="13" t="s">
        <v>68</v>
      </c>
      <c r="C12" s="171">
        <f>C11+1</f>
        <v>8</v>
      </c>
      <c r="D12" s="148"/>
      <c r="E12" s="165"/>
      <c r="F12" s="154" t="s">
        <v>77</v>
      </c>
      <c r="G12" s="155"/>
      <c r="H12" s="162"/>
      <c r="I12" s="173" t="s">
        <v>268</v>
      </c>
      <c r="J12" s="174" t="s">
        <v>271</v>
      </c>
      <c r="L12" s="124" t="s">
        <v>184</v>
      </c>
      <c r="M12" s="147" t="s">
        <v>223</v>
      </c>
      <c r="N12" s="142" t="s">
        <v>183</v>
      </c>
      <c r="O12" s="124">
        <v>4</v>
      </c>
      <c r="P12" s="129">
        <f t="shared" si="3"/>
        <v>48</v>
      </c>
      <c r="Q12" s="129">
        <f t="shared" si="4"/>
        <v>60</v>
      </c>
      <c r="R12" s="158" t="s">
        <v>158</v>
      </c>
    </row>
    <row r="13" spans="1:18" ht="30">
      <c r="A13" s="113">
        <v>46239</v>
      </c>
      <c r="B13" s="13" t="s">
        <v>69</v>
      </c>
      <c r="C13" s="171">
        <f t="shared" ref="C13:C16" si="5">C12+1</f>
        <v>9</v>
      </c>
      <c r="D13" s="174" t="s">
        <v>248</v>
      </c>
      <c r="E13" s="135" t="s">
        <v>212</v>
      </c>
      <c r="F13" s="163"/>
      <c r="G13" s="155"/>
      <c r="H13" s="135" t="s">
        <v>262</v>
      </c>
      <c r="I13" s="163"/>
      <c r="J13" s="135"/>
      <c r="L13" s="124" t="s">
        <v>188</v>
      </c>
      <c r="M13" s="147" t="s">
        <v>214</v>
      </c>
      <c r="N13" s="142" t="s">
        <v>187</v>
      </c>
      <c r="O13" s="124">
        <v>4</v>
      </c>
      <c r="P13" s="129">
        <f t="shared" si="3"/>
        <v>48</v>
      </c>
      <c r="Q13" s="129">
        <f t="shared" si="4"/>
        <v>60</v>
      </c>
      <c r="R13" s="235" t="s">
        <v>281</v>
      </c>
    </row>
    <row r="14" spans="1:18" ht="30">
      <c r="A14" s="113">
        <v>46240</v>
      </c>
      <c r="B14" s="13" t="s">
        <v>70</v>
      </c>
      <c r="C14" s="171">
        <f t="shared" si="5"/>
        <v>10</v>
      </c>
      <c r="D14" s="165"/>
      <c r="E14" s="173" t="s">
        <v>268</v>
      </c>
      <c r="F14" s="135" t="s">
        <v>77</v>
      </c>
      <c r="G14" s="155"/>
      <c r="H14" s="163"/>
      <c r="I14" s="12" t="s">
        <v>212</v>
      </c>
      <c r="J14" s="135" t="s">
        <v>262</v>
      </c>
      <c r="L14" s="124" t="s">
        <v>190</v>
      </c>
      <c r="M14" s="147" t="s">
        <v>215</v>
      </c>
      <c r="N14" s="142" t="s">
        <v>189</v>
      </c>
      <c r="O14" s="124">
        <v>4</v>
      </c>
      <c r="P14" s="129">
        <f t="shared" si="3"/>
        <v>48</v>
      </c>
      <c r="Q14" s="129">
        <f t="shared" si="4"/>
        <v>60</v>
      </c>
      <c r="R14" s="225" t="s">
        <v>270</v>
      </c>
    </row>
    <row r="15" spans="1:18">
      <c r="A15" s="113">
        <v>46241</v>
      </c>
      <c r="B15" s="13" t="s">
        <v>71</v>
      </c>
      <c r="C15" s="171">
        <f t="shared" si="5"/>
        <v>11</v>
      </c>
      <c r="D15" s="173" t="s">
        <v>268</v>
      </c>
      <c r="E15" s="12"/>
      <c r="F15" s="169" t="s">
        <v>248</v>
      </c>
      <c r="G15" s="155"/>
      <c r="H15" s="135" t="s">
        <v>226</v>
      </c>
      <c r="I15" s="174" t="s">
        <v>271</v>
      </c>
      <c r="J15" s="135"/>
      <c r="K15" s="28" t="s">
        <v>269</v>
      </c>
      <c r="L15" s="124" t="s">
        <v>161</v>
      </c>
      <c r="M15" s="147" t="s">
        <v>224</v>
      </c>
      <c r="N15" s="142" t="s">
        <v>160</v>
      </c>
      <c r="O15" s="124">
        <v>4</v>
      </c>
      <c r="P15" s="129">
        <f t="shared" si="3"/>
        <v>48</v>
      </c>
      <c r="Q15" s="129">
        <f t="shared" si="4"/>
        <v>60</v>
      </c>
      <c r="R15" s="235" t="s">
        <v>282</v>
      </c>
    </row>
    <row r="16" spans="1:18">
      <c r="A16" s="113">
        <v>46242</v>
      </c>
      <c r="B16" s="13" t="s">
        <v>72</v>
      </c>
      <c r="C16" s="171">
        <f t="shared" si="5"/>
        <v>12</v>
      </c>
      <c r="D16" s="10"/>
      <c r="E16" s="10"/>
      <c r="F16" s="13"/>
      <c r="G16" s="14"/>
      <c r="H16" s="13" t="s">
        <v>249</v>
      </c>
      <c r="I16" s="13" t="s">
        <v>249</v>
      </c>
      <c r="J16" s="109"/>
      <c r="L16" s="124" t="s">
        <v>165</v>
      </c>
      <c r="M16" s="147" t="s">
        <v>216</v>
      </c>
      <c r="N16" s="142" t="s">
        <v>164</v>
      </c>
      <c r="O16" s="124">
        <v>4</v>
      </c>
      <c r="P16" s="129">
        <f t="shared" si="3"/>
        <v>48</v>
      </c>
      <c r="Q16" s="129">
        <f t="shared" si="4"/>
        <v>60</v>
      </c>
      <c r="R16" s="151" t="s">
        <v>227</v>
      </c>
    </row>
    <row r="17" spans="1:18">
      <c r="A17" s="113">
        <v>46243</v>
      </c>
      <c r="B17" s="13" t="s">
        <v>73</v>
      </c>
      <c r="C17" s="13"/>
      <c r="D17" s="181"/>
      <c r="E17" s="210"/>
      <c r="F17" s="181"/>
      <c r="G17" s="15"/>
      <c r="H17" s="109"/>
      <c r="I17" s="10"/>
      <c r="J17" s="13"/>
      <c r="L17" s="124" t="s">
        <v>169</v>
      </c>
      <c r="M17" s="147" t="s">
        <v>217</v>
      </c>
      <c r="N17" s="142" t="s">
        <v>168</v>
      </c>
      <c r="O17" s="124">
        <v>4</v>
      </c>
      <c r="P17" s="129">
        <f t="shared" si="3"/>
        <v>48</v>
      </c>
      <c r="Q17" s="129">
        <f t="shared" si="4"/>
        <v>60</v>
      </c>
      <c r="R17" s="160" t="s">
        <v>238</v>
      </c>
    </row>
    <row r="18" spans="1:18">
      <c r="A18" s="113">
        <v>46244</v>
      </c>
      <c r="B18" s="13" t="s">
        <v>67</v>
      </c>
      <c r="C18" s="13">
        <f>C16+1</f>
        <v>13</v>
      </c>
      <c r="D18" s="163"/>
      <c r="E18" s="154" t="s">
        <v>77</v>
      </c>
      <c r="F18" s="165"/>
      <c r="G18" s="155"/>
      <c r="H18" s="135" t="s">
        <v>226</v>
      </c>
      <c r="I18" s="163"/>
      <c r="J18" s="156" t="s">
        <v>212</v>
      </c>
      <c r="L18" s="124" t="s">
        <v>177</v>
      </c>
      <c r="M18" s="147" t="s">
        <v>199</v>
      </c>
      <c r="N18" s="142" t="s">
        <v>176</v>
      </c>
      <c r="O18" s="124">
        <v>4</v>
      </c>
      <c r="P18" s="129">
        <f t="shared" si="3"/>
        <v>48</v>
      </c>
      <c r="Q18" s="129">
        <f t="shared" si="4"/>
        <v>60</v>
      </c>
      <c r="R18" s="161" t="s">
        <v>228</v>
      </c>
    </row>
    <row r="19" spans="1:18">
      <c r="A19" s="113">
        <v>46245</v>
      </c>
      <c r="B19" s="13" t="s">
        <v>68</v>
      </c>
      <c r="C19" s="13">
        <f>C18+1</f>
        <v>14</v>
      </c>
      <c r="D19" s="245" t="s">
        <v>214</v>
      </c>
      <c r="E19" s="246" t="s">
        <v>298</v>
      </c>
      <c r="F19" s="154" t="s">
        <v>77</v>
      </c>
      <c r="G19" s="155"/>
      <c r="H19" s="251" t="s">
        <v>300</v>
      </c>
      <c r="I19" s="148" t="s">
        <v>268</v>
      </c>
      <c r="J19" s="251" t="s">
        <v>297</v>
      </c>
      <c r="K19" s="28" t="s">
        <v>305</v>
      </c>
      <c r="L19" s="124" t="s">
        <v>182</v>
      </c>
      <c r="M19" s="147" t="s">
        <v>218</v>
      </c>
      <c r="N19" s="142" t="s">
        <v>181</v>
      </c>
      <c r="O19" s="124">
        <v>4</v>
      </c>
      <c r="P19" s="129">
        <f t="shared" si="3"/>
        <v>48</v>
      </c>
      <c r="Q19" s="129">
        <f t="shared" si="4"/>
        <v>60</v>
      </c>
      <c r="R19" s="159" t="s">
        <v>75</v>
      </c>
    </row>
    <row r="20" spans="1:18" ht="30">
      <c r="A20" s="113">
        <v>46246</v>
      </c>
      <c r="B20" s="13" t="s">
        <v>69</v>
      </c>
      <c r="C20" s="13">
        <f t="shared" ref="C20:C22" si="6">C19+1</f>
        <v>15</v>
      </c>
      <c r="D20" s="135" t="s">
        <v>248</v>
      </c>
      <c r="E20" s="135" t="s">
        <v>212</v>
      </c>
      <c r="F20" s="163"/>
      <c r="G20" s="155"/>
      <c r="H20" s="135" t="s">
        <v>262</v>
      </c>
      <c r="I20" s="251" t="s">
        <v>300</v>
      </c>
      <c r="J20" s="250" t="s">
        <v>214</v>
      </c>
      <c r="K20" s="28" t="s">
        <v>305</v>
      </c>
      <c r="L20" s="124" t="s">
        <v>186</v>
      </c>
      <c r="M20" s="147" t="s">
        <v>225</v>
      </c>
      <c r="N20" s="142" t="s">
        <v>185</v>
      </c>
      <c r="O20" s="124">
        <v>4</v>
      </c>
      <c r="P20" s="129">
        <f t="shared" si="3"/>
        <v>48</v>
      </c>
      <c r="Q20" s="129">
        <f t="shared" si="4"/>
        <v>60</v>
      </c>
      <c r="R20" s="152" t="s">
        <v>158</v>
      </c>
    </row>
    <row r="21" spans="1:18" ht="30">
      <c r="A21" s="113">
        <v>46247</v>
      </c>
      <c r="B21" s="13" t="s">
        <v>70</v>
      </c>
      <c r="C21" s="13">
        <f t="shared" si="6"/>
        <v>16</v>
      </c>
      <c r="D21" s="245" t="s">
        <v>299</v>
      </c>
      <c r="E21" s="148" t="s">
        <v>268</v>
      </c>
      <c r="F21" s="135" t="s">
        <v>77</v>
      </c>
      <c r="G21" s="155"/>
      <c r="H21" s="163"/>
      <c r="I21" s="12" t="s">
        <v>212</v>
      </c>
      <c r="J21" s="155" t="s">
        <v>262</v>
      </c>
      <c r="L21" s="124" t="s">
        <v>192</v>
      </c>
      <c r="M21" s="147" t="s">
        <v>219</v>
      </c>
      <c r="N21" s="122" t="s">
        <v>191</v>
      </c>
      <c r="O21" s="124">
        <v>4</v>
      </c>
      <c r="P21" s="129">
        <f t="shared" si="3"/>
        <v>48</v>
      </c>
      <c r="Q21" s="129">
        <f t="shared" si="4"/>
        <v>60</v>
      </c>
      <c r="R21" s="153" t="s">
        <v>229</v>
      </c>
    </row>
    <row r="22" spans="1:18">
      <c r="A22" s="113">
        <v>46248</v>
      </c>
      <c r="B22" s="13" t="s">
        <v>71</v>
      </c>
      <c r="C22" s="13">
        <f t="shared" si="6"/>
        <v>17</v>
      </c>
      <c r="D22" s="148" t="s">
        <v>268</v>
      </c>
      <c r="F22" s="156" t="s">
        <v>248</v>
      </c>
      <c r="G22" s="155"/>
      <c r="H22" s="135" t="s">
        <v>226</v>
      </c>
      <c r="I22" s="135" t="s">
        <v>297</v>
      </c>
      <c r="J22" s="250" t="s">
        <v>214</v>
      </c>
      <c r="K22" s="28" t="s">
        <v>307</v>
      </c>
      <c r="L22" s="252"/>
      <c r="M22" s="252" t="s">
        <v>300</v>
      </c>
      <c r="N22" s="253" t="s">
        <v>239</v>
      </c>
      <c r="O22" s="254">
        <v>3</v>
      </c>
      <c r="P22" s="254">
        <f t="shared" si="3"/>
        <v>36</v>
      </c>
      <c r="Q22" s="254">
        <f t="shared" si="4"/>
        <v>45</v>
      </c>
      <c r="R22" s="249" t="s">
        <v>280</v>
      </c>
    </row>
    <row r="23" spans="1:18">
      <c r="A23" s="113">
        <v>46249</v>
      </c>
      <c r="B23" s="13" t="s">
        <v>72</v>
      </c>
      <c r="C23" s="114" t="s">
        <v>23</v>
      </c>
      <c r="D23" s="10"/>
      <c r="E23" s="10"/>
      <c r="F23" s="13"/>
      <c r="G23" s="14"/>
      <c r="H23" s="13"/>
      <c r="I23" s="13"/>
      <c r="J23" s="109"/>
      <c r="L23" s="4"/>
      <c r="M23" s="4"/>
      <c r="N23" s="122" t="s">
        <v>236</v>
      </c>
      <c r="O23" s="129">
        <v>3</v>
      </c>
      <c r="P23" s="129">
        <f>Q23/1.25</f>
        <v>36</v>
      </c>
      <c r="Q23" s="129">
        <f>O23*15</f>
        <v>45</v>
      </c>
      <c r="R23" s="138" t="s">
        <v>237</v>
      </c>
    </row>
    <row r="24" spans="1:18" hidden="1">
      <c r="A24" s="113">
        <v>46250</v>
      </c>
      <c r="B24" s="13" t="s">
        <v>73</v>
      </c>
      <c r="C24" s="114"/>
      <c r="D24" s="13"/>
      <c r="E24" s="12"/>
      <c r="F24" s="13"/>
      <c r="G24" s="15"/>
      <c r="H24" s="109"/>
      <c r="I24" s="10"/>
      <c r="J24" s="13"/>
      <c r="N24" s="28"/>
      <c r="O24" s="28"/>
      <c r="P24" s="1"/>
    </row>
    <row r="25" spans="1:18" hidden="1">
      <c r="A25" s="113">
        <v>46251</v>
      </c>
      <c r="B25" s="13" t="s">
        <v>67</v>
      </c>
      <c r="C25" s="114">
        <f>C22+1</f>
        <v>18</v>
      </c>
      <c r="D25" s="163"/>
      <c r="E25" s="154" t="s">
        <v>77</v>
      </c>
      <c r="F25" s="165"/>
      <c r="G25" s="155"/>
      <c r="H25" s="135" t="s">
        <v>226</v>
      </c>
      <c r="I25" s="163"/>
      <c r="J25" s="156" t="s">
        <v>212</v>
      </c>
    </row>
    <row r="26" spans="1:18" hidden="1">
      <c r="A26" s="113">
        <v>46252</v>
      </c>
      <c r="B26" s="13" t="s">
        <v>68</v>
      </c>
      <c r="C26" s="114">
        <f>C25+1</f>
        <v>19</v>
      </c>
      <c r="D26" s="245" t="s">
        <v>214</v>
      </c>
      <c r="E26" s="246" t="s">
        <v>298</v>
      </c>
      <c r="F26" s="154" t="s">
        <v>77</v>
      </c>
      <c r="G26" s="155"/>
      <c r="H26" s="251" t="s">
        <v>300</v>
      </c>
      <c r="I26" s="148" t="s">
        <v>268</v>
      </c>
      <c r="J26" s="251" t="s">
        <v>297</v>
      </c>
      <c r="K26" s="28" t="s">
        <v>305</v>
      </c>
    </row>
    <row r="27" spans="1:18" ht="30" hidden="1">
      <c r="A27" s="113">
        <v>46253</v>
      </c>
      <c r="B27" s="13" t="s">
        <v>69</v>
      </c>
      <c r="C27" s="114">
        <f t="shared" ref="C27:C30" si="7">C26+1</f>
        <v>20</v>
      </c>
      <c r="D27" s="135" t="s">
        <v>248</v>
      </c>
      <c r="E27" s="135" t="s">
        <v>212</v>
      </c>
      <c r="F27" s="163"/>
      <c r="G27" s="155"/>
      <c r="H27" s="135" t="s">
        <v>262</v>
      </c>
      <c r="I27" s="251" t="s">
        <v>300</v>
      </c>
      <c r="J27" s="250" t="s">
        <v>214</v>
      </c>
      <c r="K27" s="28" t="s">
        <v>305</v>
      </c>
    </row>
    <row r="28" spans="1:18" ht="30" hidden="1">
      <c r="A28" s="113">
        <v>46254</v>
      </c>
      <c r="B28" s="13" t="s">
        <v>70</v>
      </c>
      <c r="C28" s="114">
        <f t="shared" si="7"/>
        <v>21</v>
      </c>
      <c r="D28" s="245" t="s">
        <v>299</v>
      </c>
      <c r="E28" s="148" t="s">
        <v>268</v>
      </c>
      <c r="F28" s="135" t="s">
        <v>77</v>
      </c>
      <c r="G28" s="155"/>
      <c r="H28" s="163"/>
      <c r="I28" s="12" t="s">
        <v>212</v>
      </c>
      <c r="J28" s="155" t="s">
        <v>262</v>
      </c>
      <c r="M28" s="3" t="s">
        <v>80</v>
      </c>
    </row>
    <row r="29" spans="1:18" hidden="1">
      <c r="A29" s="113">
        <v>46255</v>
      </c>
      <c r="B29" s="13" t="s">
        <v>71</v>
      </c>
      <c r="C29" s="114">
        <f t="shared" si="7"/>
        <v>22</v>
      </c>
      <c r="D29" s="148" t="s">
        <v>268</v>
      </c>
      <c r="F29" s="156" t="s">
        <v>248</v>
      </c>
      <c r="G29" s="155"/>
      <c r="H29" s="135" t="s">
        <v>226</v>
      </c>
      <c r="I29" s="135" t="s">
        <v>297</v>
      </c>
      <c r="J29" s="250" t="s">
        <v>214</v>
      </c>
      <c r="K29" s="28" t="s">
        <v>307</v>
      </c>
    </row>
    <row r="30" spans="1:18" ht="15.75" hidden="1" thickBot="1">
      <c r="A30" s="113">
        <v>46256</v>
      </c>
      <c r="B30" s="13" t="s">
        <v>72</v>
      </c>
      <c r="C30" s="114">
        <f t="shared" si="7"/>
        <v>23</v>
      </c>
      <c r="D30" s="10"/>
      <c r="E30" s="10"/>
      <c r="F30" s="13"/>
      <c r="G30" s="14"/>
      <c r="H30" s="196" t="s">
        <v>218</v>
      </c>
      <c r="I30" s="196" t="s">
        <v>218</v>
      </c>
      <c r="J30" s="109"/>
    </row>
    <row r="31" spans="1:18" hidden="1">
      <c r="A31" s="113">
        <v>46257</v>
      </c>
      <c r="B31" s="13" t="s">
        <v>73</v>
      </c>
      <c r="C31" s="114"/>
      <c r="D31" s="13"/>
      <c r="E31" s="12"/>
      <c r="F31" s="13"/>
      <c r="G31" s="15"/>
      <c r="H31" s="109"/>
      <c r="I31" s="13"/>
      <c r="J31" s="13"/>
    </row>
    <row r="32" spans="1:18" hidden="1">
      <c r="A32" s="113">
        <v>46258</v>
      </c>
      <c r="B32" s="13" t="s">
        <v>67</v>
      </c>
      <c r="C32" s="227">
        <f>C29+1</f>
        <v>23</v>
      </c>
      <c r="D32" s="163"/>
      <c r="E32" s="154" t="s">
        <v>77</v>
      </c>
      <c r="F32" s="165"/>
      <c r="G32" s="155"/>
      <c r="H32" s="135" t="s">
        <v>226</v>
      </c>
      <c r="I32" s="163"/>
      <c r="J32" s="156" t="s">
        <v>212</v>
      </c>
    </row>
    <row r="33" spans="1:11" hidden="1">
      <c r="A33" s="113">
        <v>46259</v>
      </c>
      <c r="B33" s="13" t="s">
        <v>68</v>
      </c>
      <c r="C33" s="227">
        <f>C32+1</f>
        <v>24</v>
      </c>
      <c r="D33" s="250" t="s">
        <v>214</v>
      </c>
      <c r="E33" s="246" t="s">
        <v>298</v>
      </c>
      <c r="F33" s="154" t="s">
        <v>77</v>
      </c>
      <c r="G33" s="155"/>
      <c r="H33" s="251" t="s">
        <v>300</v>
      </c>
      <c r="I33" s="148" t="s">
        <v>268</v>
      </c>
      <c r="J33" s="251" t="s">
        <v>297</v>
      </c>
      <c r="K33" s="28" t="s">
        <v>305</v>
      </c>
    </row>
    <row r="34" spans="1:11" ht="30" hidden="1">
      <c r="A34" s="113">
        <v>46260</v>
      </c>
      <c r="B34" s="13" t="s">
        <v>69</v>
      </c>
      <c r="C34" s="227">
        <f t="shared" ref="C34:C35" si="8">C33+1</f>
        <v>25</v>
      </c>
      <c r="D34" s="135" t="s">
        <v>248</v>
      </c>
      <c r="E34" s="135" t="s">
        <v>212</v>
      </c>
      <c r="F34" s="163"/>
      <c r="G34" s="155"/>
      <c r="H34" s="135" t="s">
        <v>262</v>
      </c>
      <c r="I34" s="251" t="s">
        <v>300</v>
      </c>
      <c r="J34" s="250" t="s">
        <v>214</v>
      </c>
      <c r="K34" s="28" t="s">
        <v>305</v>
      </c>
    </row>
    <row r="35" spans="1:11" ht="30" hidden="1">
      <c r="A35" s="113">
        <v>46261</v>
      </c>
      <c r="B35" s="13" t="s">
        <v>70</v>
      </c>
      <c r="C35" s="227">
        <f t="shared" si="8"/>
        <v>26</v>
      </c>
      <c r="D35" s="250" t="s">
        <v>299</v>
      </c>
      <c r="E35" s="148" t="s">
        <v>268</v>
      </c>
      <c r="F35" s="135" t="s">
        <v>77</v>
      </c>
      <c r="G35" s="155"/>
      <c r="H35" s="163"/>
      <c r="I35" s="12" t="s">
        <v>212</v>
      </c>
      <c r="J35" s="155" t="s">
        <v>262</v>
      </c>
    </row>
    <row r="36" spans="1:11" hidden="1">
      <c r="A36" s="113">
        <v>46262</v>
      </c>
      <c r="B36" s="13" t="s">
        <v>71</v>
      </c>
      <c r="C36" s="227" t="s">
        <v>22</v>
      </c>
      <c r="D36" s="148"/>
      <c r="E36" s="12"/>
      <c r="F36" s="156"/>
      <c r="G36" s="155"/>
      <c r="H36" s="135"/>
      <c r="I36" s="135"/>
      <c r="J36" s="250"/>
    </row>
    <row r="37" spans="1:11" hidden="1">
      <c r="A37" s="113">
        <v>46263</v>
      </c>
      <c r="B37" s="13" t="s">
        <v>72</v>
      </c>
      <c r="C37" s="228">
        <f>C35+1</f>
        <v>27</v>
      </c>
      <c r="D37" s="10"/>
      <c r="E37" s="10"/>
      <c r="F37" s="13"/>
      <c r="G37" s="14"/>
      <c r="H37" s="13" t="s">
        <v>218</v>
      </c>
      <c r="I37" s="13" t="s">
        <v>218</v>
      </c>
      <c r="J37" s="109"/>
    </row>
    <row r="38" spans="1:11">
      <c r="A38" s="113">
        <v>46264</v>
      </c>
      <c r="B38" s="13" t="s">
        <v>73</v>
      </c>
      <c r="C38" s="115"/>
      <c r="D38" s="181"/>
      <c r="E38" s="181"/>
      <c r="F38" s="181"/>
      <c r="G38" s="211"/>
      <c r="H38" s="183"/>
      <c r="I38" s="180"/>
      <c r="J38" s="181"/>
    </row>
    <row r="39" spans="1:11">
      <c r="A39" s="113">
        <v>46265</v>
      </c>
      <c r="B39" s="13" t="s">
        <v>67</v>
      </c>
      <c r="C39" s="114">
        <f>C37+1</f>
        <v>28</v>
      </c>
      <c r="D39" s="163"/>
      <c r="E39" s="154" t="s">
        <v>77</v>
      </c>
      <c r="F39" s="165"/>
      <c r="G39" s="155"/>
      <c r="H39" s="135" t="s">
        <v>226</v>
      </c>
      <c r="I39" s="163"/>
      <c r="J39" s="156" t="s">
        <v>212</v>
      </c>
    </row>
    <row r="40" spans="1:11">
      <c r="A40" s="113">
        <v>46266</v>
      </c>
      <c r="B40" s="13" t="s">
        <v>68</v>
      </c>
      <c r="C40" s="114">
        <f>C39+1</f>
        <v>29</v>
      </c>
      <c r="D40" s="250" t="s">
        <v>214</v>
      </c>
      <c r="E40" s="246" t="s">
        <v>298</v>
      </c>
      <c r="F40" s="154" t="s">
        <v>77</v>
      </c>
      <c r="G40" s="155"/>
      <c r="H40" s="251" t="s">
        <v>300</v>
      </c>
      <c r="I40" s="148" t="s">
        <v>268</v>
      </c>
      <c r="J40" s="251" t="s">
        <v>297</v>
      </c>
      <c r="K40" s="28" t="s">
        <v>305</v>
      </c>
    </row>
    <row r="41" spans="1:11" ht="30">
      <c r="A41" s="113">
        <v>46267</v>
      </c>
      <c r="B41" s="13" t="s">
        <v>69</v>
      </c>
      <c r="C41" s="114">
        <f t="shared" ref="C41:C42" si="9">C40+1</f>
        <v>30</v>
      </c>
      <c r="D41" s="135" t="s">
        <v>248</v>
      </c>
      <c r="E41" s="135" t="s">
        <v>212</v>
      </c>
      <c r="F41" s="163"/>
      <c r="G41" s="155"/>
      <c r="H41" s="135" t="s">
        <v>262</v>
      </c>
      <c r="I41" s="251" t="s">
        <v>300</v>
      </c>
      <c r="J41" s="250" t="s">
        <v>214</v>
      </c>
      <c r="K41" s="28" t="s">
        <v>305</v>
      </c>
    </row>
    <row r="42" spans="1:11" ht="30">
      <c r="A42" s="113">
        <v>46268</v>
      </c>
      <c r="B42" s="13" t="s">
        <v>70</v>
      </c>
      <c r="C42" s="114">
        <f t="shared" si="9"/>
        <v>31</v>
      </c>
      <c r="D42" s="250" t="s">
        <v>299</v>
      </c>
      <c r="E42" s="148" t="s">
        <v>268</v>
      </c>
      <c r="F42" s="135" t="s">
        <v>77</v>
      </c>
      <c r="G42" s="155"/>
      <c r="H42" s="163"/>
      <c r="I42" s="12" t="s">
        <v>212</v>
      </c>
      <c r="J42" s="155" t="s">
        <v>262</v>
      </c>
    </row>
    <row r="43" spans="1:11">
      <c r="A43" s="113">
        <v>46269</v>
      </c>
      <c r="B43" s="13" t="s">
        <v>71</v>
      </c>
      <c r="C43" s="114" t="s">
        <v>81</v>
      </c>
      <c r="D43" s="148"/>
      <c r="E43" s="12"/>
      <c r="F43" s="156"/>
      <c r="G43" s="155"/>
      <c r="H43" s="135"/>
      <c r="I43" s="135"/>
      <c r="J43" s="250"/>
    </row>
    <row r="44" spans="1:11">
      <c r="A44" s="113">
        <v>46270</v>
      </c>
      <c r="B44" s="13" t="s">
        <v>72</v>
      </c>
      <c r="C44" s="12">
        <f>C42+1</f>
        <v>32</v>
      </c>
      <c r="D44" s="10"/>
      <c r="E44" s="10"/>
      <c r="F44" s="13"/>
      <c r="G44" s="14"/>
      <c r="H44" s="13" t="s">
        <v>218</v>
      </c>
      <c r="I44" s="13" t="s">
        <v>218</v>
      </c>
      <c r="J44" s="109"/>
    </row>
    <row r="45" spans="1:11">
      <c r="A45" s="113">
        <v>46271</v>
      </c>
      <c r="B45" s="13" t="s">
        <v>73</v>
      </c>
      <c r="C45" s="114"/>
      <c r="D45" s="13"/>
      <c r="E45" s="12"/>
      <c r="F45" s="13"/>
      <c r="G45" s="15"/>
      <c r="H45" s="109"/>
      <c r="I45" s="10"/>
      <c r="J45" s="13"/>
    </row>
    <row r="46" spans="1:11">
      <c r="A46" s="113">
        <v>46272</v>
      </c>
      <c r="B46" s="13" t="s">
        <v>67</v>
      </c>
      <c r="C46" s="114">
        <f>C44+1</f>
        <v>33</v>
      </c>
      <c r="D46" s="163"/>
      <c r="E46" s="154" t="s">
        <v>77</v>
      </c>
      <c r="F46" s="165" t="s">
        <v>212</v>
      </c>
      <c r="G46" s="155"/>
      <c r="H46" s="135" t="s">
        <v>226</v>
      </c>
      <c r="I46" s="163"/>
      <c r="J46" s="156" t="s">
        <v>212</v>
      </c>
      <c r="K46" s="28" t="s">
        <v>329</v>
      </c>
    </row>
    <row r="47" spans="1:11">
      <c r="A47" s="113">
        <v>46273</v>
      </c>
      <c r="B47" s="13" t="s">
        <v>68</v>
      </c>
      <c r="C47" s="114">
        <f>C46+1</f>
        <v>34</v>
      </c>
      <c r="D47" s="250" t="s">
        <v>214</v>
      </c>
      <c r="E47" s="246" t="s">
        <v>298</v>
      </c>
      <c r="F47" s="154" t="s">
        <v>77</v>
      </c>
      <c r="G47" s="155"/>
      <c r="H47" s="251" t="s">
        <v>300</v>
      </c>
      <c r="I47" s="148" t="s">
        <v>268</v>
      </c>
      <c r="J47" s="251" t="s">
        <v>297</v>
      </c>
      <c r="K47" s="28" t="s">
        <v>305</v>
      </c>
    </row>
    <row r="48" spans="1:11" ht="30">
      <c r="A48" s="113">
        <v>46274</v>
      </c>
      <c r="B48" s="13" t="s">
        <v>69</v>
      </c>
      <c r="C48" s="114">
        <f t="shared" ref="C48:C51" si="10">C47+1</f>
        <v>35</v>
      </c>
      <c r="D48" s="135" t="s">
        <v>248</v>
      </c>
      <c r="E48" s="135" t="s">
        <v>212</v>
      </c>
      <c r="F48" s="163"/>
      <c r="G48" s="155"/>
      <c r="H48" s="135" t="s">
        <v>262</v>
      </c>
      <c r="I48" s="251" t="s">
        <v>300</v>
      </c>
      <c r="J48" s="250" t="s">
        <v>214</v>
      </c>
      <c r="K48" s="28" t="s">
        <v>305</v>
      </c>
    </row>
    <row r="49" spans="1:18" ht="30">
      <c r="A49" s="113">
        <v>46275</v>
      </c>
      <c r="B49" s="13" t="s">
        <v>70</v>
      </c>
      <c r="C49" s="114">
        <f t="shared" si="10"/>
        <v>36</v>
      </c>
      <c r="D49" s="250" t="s">
        <v>299</v>
      </c>
      <c r="E49" s="148" t="s">
        <v>268</v>
      </c>
      <c r="F49" s="135" t="s">
        <v>77</v>
      </c>
      <c r="G49" s="155"/>
      <c r="H49" s="163"/>
      <c r="I49" s="12" t="s">
        <v>212</v>
      </c>
      <c r="J49" s="155" t="s">
        <v>262</v>
      </c>
      <c r="N49" s="28"/>
      <c r="O49" s="5"/>
      <c r="P49" s="1"/>
      <c r="Q49" s="1"/>
      <c r="R49" s="1"/>
    </row>
    <row r="50" spans="1:18">
      <c r="A50" s="113">
        <v>46276</v>
      </c>
      <c r="B50" s="13" t="s">
        <v>71</v>
      </c>
      <c r="C50" s="114">
        <f t="shared" si="10"/>
        <v>37</v>
      </c>
      <c r="D50" s="148" t="s">
        <v>268</v>
      </c>
      <c r="E50" s="12"/>
      <c r="F50" s="156" t="s">
        <v>248</v>
      </c>
      <c r="G50" s="155"/>
      <c r="H50" s="135" t="s">
        <v>226</v>
      </c>
      <c r="I50" s="135" t="s">
        <v>297</v>
      </c>
      <c r="J50" s="250" t="s">
        <v>214</v>
      </c>
      <c r="K50" s="28" t="s">
        <v>307</v>
      </c>
      <c r="N50" s="28"/>
      <c r="O50" s="5"/>
      <c r="P50" s="1"/>
      <c r="Q50" s="1"/>
      <c r="R50" s="1"/>
    </row>
    <row r="51" spans="1:18">
      <c r="A51" s="113">
        <v>46277</v>
      </c>
      <c r="B51" s="13" t="s">
        <v>72</v>
      </c>
      <c r="C51" s="114">
        <f t="shared" si="10"/>
        <v>38</v>
      </c>
      <c r="D51" s="10"/>
      <c r="E51" s="10"/>
      <c r="F51" s="13"/>
      <c r="G51" s="14"/>
      <c r="H51" s="13" t="s">
        <v>218</v>
      </c>
      <c r="I51" s="13" t="s">
        <v>218</v>
      </c>
      <c r="J51" s="109"/>
      <c r="N51" s="28"/>
      <c r="O51" s="5"/>
      <c r="P51" s="1"/>
      <c r="Q51" s="1"/>
      <c r="R51" s="1"/>
    </row>
    <row r="52" spans="1:18">
      <c r="A52" s="113">
        <v>46278</v>
      </c>
      <c r="B52" s="13" t="s">
        <v>73</v>
      </c>
      <c r="C52" s="114"/>
      <c r="D52" s="13"/>
      <c r="E52" s="12"/>
      <c r="F52" s="13"/>
      <c r="G52" s="15"/>
      <c r="H52" s="109"/>
      <c r="I52" s="10"/>
      <c r="J52" s="13"/>
      <c r="L52" s="1"/>
      <c r="M52" s="1"/>
      <c r="O52" s="5"/>
      <c r="P52" s="1"/>
      <c r="Q52" s="1"/>
      <c r="R52" s="1"/>
    </row>
  </sheetData>
  <mergeCells count="2">
    <mergeCell ref="A1:J1"/>
    <mergeCell ref="A2:J2"/>
  </mergeCells>
  <conditionalFormatting sqref="B1:B2">
    <cfRule type="cellIs" dxfId="2" priority="4" operator="equal">
      <formula>"Sat"</formula>
    </cfRule>
  </conditionalFormatting>
  <conditionalFormatting sqref="B4:B52">
    <cfRule type="containsText" dxfId="1" priority="1" operator="containsText" text="Sun">
      <formula>NOT(ISERROR(SEARCH("Sun",B4)))</formula>
    </cfRule>
  </conditionalFormatting>
  <conditionalFormatting sqref="B60:B1048576">
    <cfRule type="cellIs" dxfId="0" priority="2" operator="equal">
      <formula>"Sat"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Sem-1A</vt:lpstr>
      <vt:lpstr>Sem-1B</vt:lpstr>
      <vt:lpstr>Sem-1C</vt:lpstr>
      <vt:lpstr>Sem-1G</vt:lpstr>
      <vt:lpstr>Sem-1D</vt:lpstr>
      <vt:lpstr>Sem-1E</vt:lpstr>
      <vt:lpstr>Sem-3A</vt:lpstr>
      <vt:lpstr>Sem-3B</vt:lpstr>
      <vt:lpstr>Sem-3C</vt:lpstr>
      <vt:lpstr>Sem-3D</vt:lpstr>
      <vt:lpstr>Sem-5A</vt:lpstr>
      <vt:lpstr>Sem-5B</vt:lpstr>
      <vt:lpstr>Sem-5C</vt:lpstr>
      <vt:lpstr>Sem-5D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krishana saraswat</cp:lastModifiedBy>
  <cp:lastPrinted>2025-01-10T10:56:42Z</cp:lastPrinted>
  <dcterms:created xsi:type="dcterms:W3CDTF">2022-06-07T05:03:18Z</dcterms:created>
  <dcterms:modified xsi:type="dcterms:W3CDTF">2026-09-06T13:04:46Z</dcterms:modified>
</cp:coreProperties>
</file>